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b27f230d9043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p 20" sheetId="1" r:id="R3e0337c45285463f"/>
    <x:sheet xmlns:r="http://schemas.openxmlformats.org/officeDocument/2006/relationships" name="Candidate Universe" sheetId="2" r:id="R9f95e9405cac459f"/>
    <x:sheet xmlns:r="http://schemas.openxmlformats.org/officeDocument/2006/relationships" name="Wallet Evidence" sheetId="3" r:id="Rabf80acd8ea24af0"/>
    <x:sheet xmlns:r="http://schemas.openxmlformats.org/officeDocument/2006/relationships" name="Capital Evidence" sheetId="4" r:id="Rbdec273fce3c4145"/>
    <x:sheet xmlns:r="http://schemas.openxmlformats.org/officeDocument/2006/relationships" name="Source Catalog" sheetId="5" r:id="R96e027af22b34e00"/>
    <x:sheet xmlns:r="http://schemas.openxmlformats.org/officeDocument/2006/relationships" name="Checks" sheetId="6" r:id="R3bcb8b7f664e48fa"/>
    <x:sheet xmlns:r="http://schemas.openxmlformats.org/officeDocument/2006/relationships" name="Methodology" sheetId="7" r:id="R314f2a1380584e86"/>
  </x:sheets>
</x:workbook>
</file>

<file path=xl/comments1.xml><?xml version="1.0" encoding="utf-8"?>
<x:comments xmlns:x="http://schemas.openxmlformats.org/spreadsheetml/2006/main">
  <x:authors>
    <x:author>tc={96C43A3F-D05D-DBEF-5F7B-EEA933F0C15C}</x:author>
    <x:author>tc={176F63F2-BE6A-0C33-29DA-059865CDF8DA}</x:author>
    <x:author>tc={C4A6A293-4545-69F8-2739-F606A623C0D2}</x:author>
    <x:author>tc={4F589744-07C7-FDE5-D871-FB45E208BAF5}</x:author>
    <x:author>tc={FF6839B3-5A89-82B5-B007-6BC6A1DDAE44}</x:author>
    <x:author>tc={BE6E0268-3661-4A69-7D7B-440C82A87836}</x:author>
    <x:author>tc={DEE580C1-01F7-0BDE-2B53-964F95AB332C}</x:author>
    <x:author>tc={56C05AA5-68BF-4114-5CBB-985887A8CB14}</x:author>
    <x:author>tc={C87419AE-FF1D-A48A-0F2C-96F355DDFB38}</x:author>
    <x:author>tc={4E61B7F7-E941-18C8-2EDB-12F24F107CDD}</x:author>
    <x:author>tc={69D5E5E1-A265-FE0E-F1AF-05D3CFF948B0}</x:author>
    <x:author>tc={29B819E8-A952-C1EA-06DA-5A347C588E80}</x:author>
    <x:author>tc={42633714-20AC-2134-76E5-AA3F983CF0CB}</x:author>
    <x:author>tc={982B58A0-C514-D2DA-8812-7BA5F4B5D65C}</x:author>
    <x:author>tc={04E5A0FE-F878-24D9-BB3E-3599F02A891A}</x:author>
    <x:author>tc={D647CBBD-819B-4E88-3E6E-402262F5B5C6}</x:author>
    <x:author>tc={140ADE59-A9C1-0BDC-0B75-4CF4D8D27030}</x:author>
    <x:author>tc={2F332ED4-F6F0-D3D8-23AB-FC6E5FFDC22C}</x:author>
    <x:author>tc={A5787BD3-A9D1-6217-70C1-A9F713F17C74}</x:author>
    <x:author>tc={7B285968-A12B-89BD-BBC6-C9C3E2AEED61}</x:author>
    <x:author>tc={B62354FE-5FBC-51EB-E749-63FF88C75D9B}</x:author>
    <x:author>tc={6E34DCDB-D87A-9019-E7E9-34B800008110}</x:author>
    <x:author>tc={0B98E24C-8CA2-21E9-3480-F26493C5FE8F}</x:author>
    <x:author>tc={9DB4BE56-3D05-8223-829D-D8049AF137D3}</x:author>
    <x:author>tc={AEBFF69C-03A8-A7B5-AE24-BFFD66C30FE5}</x:author>
    <x:author>tc={6C71F934-BC48-3DCD-FBB6-C1FE5C77CDB2}</x:author>
    <x:author>tc={BB74BD92-8141-03FD-AE77-32B2B13D70FB}</x:author>
    <x:author>tc={BD6F2438-2D31-EA0B-13FA-A4B861C2571F}</x:author>
    <x:author>tc={AB970606-E322-2E27-09C9-B523610B5B6F}</x:author>
    <x:author>tc={4D4D30AD-7421-C4DC-ABC9-498DDB74F0D2}</x:author>
    <x:author>tc={0626EFB4-F649-B007-2224-6586B8018F9E}</x:author>
    <x:author>tc={ADC22089-83DC-7B43-7528-30EB7DC7A03B}</x:author>
    <x:author>tc={8FEF2CE5-2F78-05E4-1A25-557E93668085}</x:author>
    <x:author>tc={BD8CDDEB-BC8B-1698-9DDF-993039AB4AD9}</x:author>
    <x:author>tc={9F3DBCE0-5254-172C-8904-8722325F7A91}</x:author>
    <x:author>tc={BEBEBB46-CBE2-FBD0-F64E-7C7D26C53524}</x:author>
    <x:author>tc={6F1BD043-B251-FEBF-233D-1284F704AF39}</x:author>
    <x:author>tc={8EAA5FCE-90FA-820C-E4AA-EE417335B0E3}</x:author>
    <x:author>tc={970285DD-2F45-7CFB-EB30-65683FD819BC}</x:author>
    <x:author>tc={22C1A61F-39F1-3247-366A-75E0DBD87BA9}</x:author>
    <x:author>tc={7D4319DD-E043-3990-0928-25E4115A658D}</x:author>
    <x:author>tc={7B5F47EA-D596-1E23-9818-8B9B993FEE1A}</x:author>
  </x:authors>
  <x:commentList>
    <x:comment ref="G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Gross value source: CG-BTC. Snapshot 2026-07-30; refresh before publication.</x:t>
        </x:r>
      </x:text>
    </x:comment>
    <x:comment ref="H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Founder/team exclusion source: ARK-SATOSHI. Status: Partial.</x:t>
        </x:r>
      </x:text>
    </x:comment>
    <x:comment ref="I5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External capital source: BTC-FAIR-LAUNCH. Status: Complete; partial amounts are verified minimums.</x:t>
        </x:r>
      </x:text>
    </x:comment>
    <x:comment ref="G6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Gross value source: CG-ETH. Snapshot 2026-07-30; refresh before publication.</x:t>
        </x:r>
      </x:text>
    </x:comment>
    <x:comment ref="I6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External capital source: ETH-CROWDSALE. Status: Partial; partial amounts are verified minimums.</x:t>
        </x:r>
      </x:text>
    </x:comment>
    <x:comment ref="G7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Gross value source: CG-BNB. Snapshot 2026-07-30; refresh before publication.</x:t>
        </x:r>
      </x:text>
    </x:comment>
    <x:comment ref="I7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External capital source: BNB-ICO. Status: Partial; partial amounts are verified minimums.</x:t>
        </x:r>
      </x:text>
    </x:comment>
    <x:comment ref="G8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Gross value source: CG-XRP. Snapshot 2026-07-30; refresh before publication.</x:t>
        </x:r>
      </x:text>
    </x:comment>
    <x:comment ref="G9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Gross value source: CG-SOL. Snapshot 2026-07-30; refresh before publication.</x:t>
        </x:r>
      </x:text>
    </x:comment>
    <x:comment ref="I9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External capital source: SOL-2021-SALE. Status: Partial; partial amounts are verified minimums.</x:t>
        </x:r>
      </x:text>
    </x:comment>
    <x:comment ref="G10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Gross value source: COIN-MARKETCAP. Snapshot 2026-07-30; refresh before publication.</x:t>
        </x:r>
      </x:text>
    </x:comment>
    <x:comment ref="H10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Founder/team exclusion source: COIN-PROXY-2026. Status: Complete.</x:t>
        </x:r>
      </x:text>
    </x:comment>
    <x:comment ref="I10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External capital source: COIN-FUNDING. Status: Partial; partial amounts are verified minimums.</x:t>
        </x:r>
      </x:text>
    </x:comment>
    <x:comment ref="G11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Gross value source: CG-TRX. Snapshot 2026-07-30; refresh before publication.</x:t>
        </x:r>
      </x:text>
    </x:comment>
    <x:comment ref="I11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External capital source: TRON-ICO. Status: Partial; partial amounts are verified minimums.</x:t>
        </x:r>
      </x:text>
    </x:comment>
    <x:comment ref="G12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Gross value source: CG-HYPE. Snapshot 2026-07-30; refresh before publication.</x:t>
        </x:r>
      </x:text>
    </x:comment>
    <x:comment ref="I12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External capital source: HYPE-SELF-FUNDED. Status: Partial; partial amounts are verified minimums.</x:t>
        </x:r>
      </x:text>
    </x:comment>
    <x:comment ref="G13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Gross value source: CG-DOGE. Snapshot 2026-07-30; refresh before publication.</x:t>
        </x:r>
      </x:text>
    </x:comment>
    <x:comment ref="H13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Founder/team exclusion source: DOGE-DIVESTED. Status: Complete.</x:t>
        </x:r>
      </x:text>
    </x:comment>
    <x:comment ref="I13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External capital source: DOGE-FAIR-LAUNCH. Status: Complete; partial amounts are verified minimums.</x:t>
        </x:r>
      </x:text>
    </x:comment>
    <x:comment ref="G14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Gross value source: CG-ADA. Snapshot 2026-07-30; refresh before publication.</x:t>
        </x:r>
      </x:text>
    </x:comment>
    <x:comment ref="I14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External capital source: ADA-ICO. Status: Partial; partial amounts are verified minimums.</x:t>
        </x:r>
      </x:text>
    </x:comment>
    <x:comment ref="G15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Gross value source: CG-LINK. Snapshot 2026-07-30; refresh before publication.</x:t>
        </x:r>
      </x:text>
    </x:comment>
    <x:comment ref="I15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External capital source: LINK-ICO. Status: Partial; partial amounts are verified minimums.</x:t>
        </x:r>
      </x:text>
    </x:comment>
    <x:comment ref="G16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Gross value source: CG-XLM. Snapshot 2026-07-30; refresh before publication.</x:t>
        </x:r>
      </x:text>
    </x:comment>
    <x:comment ref="I16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External capital source: XLM-STRIPE. Status: Partial; partial amounts are verified minimums.</x:t>
        </x:r>
      </x:text>
    </x:comment>
    <x:comment ref="G17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Gross value source: CG-CANTON. Snapshot 2026-07-30; refresh before publication.</x:t>
        </x:r>
      </x:text>
    </x:comment>
    <x:comment ref="G18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Gross value source: CG-LTC. Snapshot 2026-07-30; refresh before publication.</x:t>
        </x:r>
      </x:text>
    </x:comment>
    <x:comment ref="H18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Founder/team exclusion source: LTC-DIVESTED. Status: Complete.</x:t>
        </x:r>
      </x:text>
    </x:comment>
    <x:comment ref="I18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External capital source: LTC-FAIR-LAUNCH. Status: Complete; partial amounts are verified minimums.</x:t>
        </x:r>
      </x:text>
    </x:comment>
    <x:comment ref="G19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Gross value source: CG-HBAR. Snapshot 2026-07-30; refresh before publication.</x:t>
        </x:r>
      </x:text>
    </x:comment>
    <x:comment ref="I19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External capital source: HBAR-SALES. Status: Partial; partial amounts are verified minimums.</x:t>
        </x:r>
      </x:text>
    </x:comment>
    <x:comment ref="G20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Gross value source: CG-SUI. Snapshot 2026-07-30; refresh before publication.</x:t>
        </x:r>
      </x:text>
    </x:comment>
    <x:comment ref="I20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External capital source: SUI-SERIES-B. Status: Partial; partial amounts are verified minimums.</x:t>
        </x:r>
      </x:text>
    </x:comment>
    <x:comment ref="G21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Gross value source: CG-AVAX. Snapshot 2026-07-30; refresh before publication.</x:t>
        </x:r>
      </x:text>
    </x:comment>
    <x:comment ref="I21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External capital source: AVAX-2021-SALE. Status: Partial; partial amounts are verified minimums.</x:t>
        </x:r>
      </x:text>
    </x:comment>
    <x:comment ref="G22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Gross value source: CG-UNI. Snapshot 2026-07-30; refresh before publication.</x:t>
        </x:r>
      </x:text>
    </x:comment>
    <x:comment ref="I22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External capital source: UNI-SERIES-B. Status: Partial; partial amounts are verified minimums.</x:t>
        </x:r>
      </x:text>
    </x:comment>
    <x:comment ref="G23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Gross value source: CG-NEAR. Snapshot 2026-07-30; refresh before publication.</x:t>
        </x:r>
      </x:text>
    </x:comment>
    <x:comment ref="I23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External capital source: NEAR-2022-ROUND. Status: Partial; partial amounts are verified minimums.</x:t>
        </x:r>
      </x:text>
    </x:comment>
    <x:comment ref="G24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Gross value source: CG-ONDO. Snapshot 2026-07-30; refresh before publication.</x:t>
        </x:r>
      </x:text>
    </x:comment>
    <x:comment ref="I24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External capital source: ONDO-SERIES-A. Status: Partial; partial amounts are verified minimums.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$#,##0;[Red]($#,##0);-"/>
    <x:numFmt numFmtId="202" formatCode="0"/>
    <x:numFmt numFmtId="203" formatCode="#,##0;[Red](#,##0);-"/>
  </x:numFmts>
  <x:fonts count="14">
    <x:font>
      <x:sz val="11"/>
      <x:name val="Carlito"/>
    </x:font>
    <x:font>
      <x:b/>
      <x:sz val="18"/>
      <x:color rgb="FFFFFFFF"/>
      <x:name val="Aptos Display"/>
    </x:font>
    <x:font>
      <x:sz val="10"/>
      <x:color rgb="FF1E3A8A"/>
      <x:name val="Aptos"/>
    </x:font>
    <x:font>
      <x:b/>
      <x:sz val="10"/>
      <x:color rgb="FFFFFFFF"/>
      <x:name val="Aptos"/>
    </x:font>
    <x:font>
      <x:sz val="11"/>
      <x:color rgb="FF0000FF"/>
      <x:name val="Aptos"/>
    </x:font>
    <x:font>
      <x:sz val="11"/>
      <x:color rgb="FF000000"/>
      <x:name val="Aptos"/>
    </x:font>
    <x:font>
      <x:b/>
      <x:sz val="11"/>
      <x:color rgb="FF1E3A8A"/>
      <x:name val="Carlito"/>
    </x:font>
    <x:font>
      <x:b/>
      <x:sz val="14"/>
      <x:color rgb="FF166534"/>
      <x:name val="Carlito"/>
    </x:font>
    <x:font>
      <x:b/>
      <x:sz val="14"/>
      <x:color rgb="FF2563EB"/>
      <x:name val="Carlito"/>
    </x:font>
    <x:font>
      <x:sz val="11"/>
      <x:color rgb="FF008000"/>
      <x:name val="Aptos"/>
    </x:font>
    <x:font>
      <x:sz val="9"/>
      <x:color rgb="FF0000FF"/>
      <x:name val="Aptos Mono"/>
    </x:font>
    <x:font>
      <x:sz val="9"/>
      <x:color rgb="FF0000FF"/>
      <x:name val="Aptos"/>
    </x:font>
    <x:font>
      <x:i/>
      <x:sz val="11"/>
      <x:color rgb="FFB45309"/>
      <x:name val="Carlito"/>
    </x:font>
    <x:font>
      <x:sz val="11"/>
      <x:color rgb="FF0000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EFF6FF"/>
      </x:patternFill>
    </x:fill>
    <x:fill>
      <x:patternFill patternType="solid">
        <x:fgColor rgb="FFDBEAFE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8">
    <x:border/>
    <x:border>
      <x:left style="thin">
        <x:color rgb="FF94A3B8"/>
      </x:left>
      <x:top style="thin">
        <x:color rgb="FF94A3B8"/>
      </x:top>
      <x:bottom style="thin">
        <x:color rgb="FF94A3B8"/>
      </x:bottom>
    </x:border>
    <x:border>
      <x:top style="thin">
        <x:color rgb="FF94A3B8"/>
      </x:top>
      <x:bottom style="thin">
        <x:color rgb="FF94A3B8"/>
      </x:bottom>
    </x:border>
    <x:border>
      <x:right style="thin">
        <x:color rgb="FF94A3B8"/>
      </x:right>
      <x:top style="thin">
        <x:color rgb="FF94A3B8"/>
      </x:top>
      <x:bottom style="thin">
        <x:color rgb="FF94A3B8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double">
        <x:color rgb="FF1E3A8A"/>
      </x:bottom>
    </x:border>
  </x:borders>
  <x:cellStyleXfs count="1">
    <x:xf numFmtId="0" fontId="0" fillId="0" borderId="0"/>
  </x:cellStyleXfs>
  <x:cellXfs count="57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4" fillId="0" borderId="0" xfId="0" applyNumberFormat="1" applyFont="1" applyFill="1" applyBorder="1"/>
    <x:xf numFmtId="201" fontId="5" fillId="0" borderId="0" xfId="0" applyNumberFormat="1" applyFont="1" applyFill="1" applyBorder="1"/>
    <x:xf numFmtId="0" fontId="5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201" fontId="4" fillId="0" borderId="0" xfId="0" applyNumberFormat="1" applyFont="1" applyFill="1" applyBorder="1" applyAlignment="1">
      <x:alignment vertical="top"/>
    </x:xf>
    <x:xf numFmtId="201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4" xfId="0" applyNumberFormat="1" applyFont="1" applyFill="1" applyBorder="1"/>
    <x:xf numFmtId="0" fontId="7" fillId="5" borderId="5" xfId="0" applyNumberFormat="1" applyFont="1" applyFill="1" applyBorder="1"/>
    <x:xf numFmtId="201" fontId="7" fillId="5" borderId="4" xfId="0" applyNumberFormat="1" applyFont="1" applyFill="1" applyBorder="1"/>
    <x:xf numFmtId="201" fontId="7" fillId="5" borderId="5" xfId="0" applyNumberFormat="1" applyFont="1" applyFill="1" applyBorder="1"/>
    <x:xf numFmtId="0" fontId="8" fillId="5" borderId="0" xfId="0" applyNumberFormat="1" applyFont="1" applyFill="1" applyBorder="1"/>
    <x:xf numFmtId="0" fontId="8" fillId="5" borderId="6" xfId="0" applyNumberFormat="1" applyFont="1" applyFill="1" applyBorder="1"/>
    <x:xf numFmtId="202" fontId="8" fillId="5" borderId="6" xfId="0" applyNumberFormat="1" applyFont="1" applyFill="1" applyBorder="1"/>
    <x:xf numFmtId="0" fontId="9" fillId="0" borderId="0" xfId="0" applyNumberFormat="1" applyFont="1" applyFill="1" applyBorder="1"/>
    <x:xf numFmtId="201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200" fontId="10" fillId="0" borderId="0" xfId="0" applyNumberFormat="1" applyFont="1" applyFill="1" applyBorder="1"/>
    <x:xf numFmtId="0" fontId="11" fillId="0" borderId="0" xfId="0" applyNumberFormat="1" applyFont="1" applyFill="1" applyBorder="1"/>
    <x:xf numFmtId="200" fontId="1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6" fillId="4" borderId="7" xfId="0" applyNumberFormat="1" applyFont="1" applyFill="1" applyBorder="1"/>
    <x:xf numFmtId="0" fontId="0" fillId="6" borderId="0" xfId="0" applyNumberFormat="1" applyFont="1" applyFill="1" applyBorder="1"/>
    <x:xf numFmtId="0" fontId="12" fillId="6" borderId="0" xfId="0" applyNumberFormat="1" applyFont="1" applyFill="1" applyBorder="1"/>
    <x:xf numFmtId="0" fontId="12" fillId="6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B45309"/>
      </x:font>
      <x:fill>
        <x:patternFill patternType="solid">
          <x:bgColor rgb="FFFEF3C7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  <x:dxf>
      <x:font>
        <x:color rgb="FFB45309"/>
      </x:font>
      <x:fill>
        <x:patternFill patternType="solid">
          <x:bgColor rgb="FFFFEDD5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B45309"/>
      </x:font>
      <x:fill>
        <x:patternFill patternType="solid">
          <x:bgColor rgb="FFFEF3C7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  <x:dxf>
      <x:font>
        <x:color rgb="FFB45309"/>
      </x:font>
      <x:fill>
        <x:patternFill patternType="solid">
          <x:bgColor rgb="FFFFEDD5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B45309"/>
      </x:font>
      <x:fill>
        <x:patternFill patternType="solid">
          <x:bgColor rgb="FFFEF3C7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  <x:dxf>
      <x:font>
        <x:color rgb="FFB45309"/>
      </x:font>
      <x:fill>
        <x:patternFill patternType="solid">
          <x:bgColor rgb="FFFFEDD5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B45309"/>
      </x:font>
      <x:fill>
        <x:patternFill patternType="solid">
          <x:bgColor rgb="FFFEF3C7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B45309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e601b7b32244d9" /><Relationship Type="http://schemas.openxmlformats.org/officeDocument/2006/relationships/theme" Target="/xl/theme/theme1.xml" Id="Rc66f7d8532934976" /><Relationship Type="http://schemas.openxmlformats.org/officeDocument/2006/relationships/sharedStrings" Target="/xl/sharedStrings.xml" Id="R1187f919a9bb40c1" /><Relationship Type="http://schemas.openxmlformats.org/officeDocument/2006/relationships/worksheet" Target="/xl/worksheets/sheet1.xml" Id="R3e0337c45285463f" /><Relationship Type="http://schemas.openxmlformats.org/officeDocument/2006/relationships/worksheet" Target="/xl/worksheets/sheet2.xml" Id="R9f95e9405cac459f" /><Relationship Type="http://schemas.openxmlformats.org/officeDocument/2006/relationships/worksheet" Target="/xl/worksheets/sheet3.xml" Id="Rabf80acd8ea24af0" /><Relationship Type="http://schemas.openxmlformats.org/officeDocument/2006/relationships/worksheet" Target="/xl/worksheets/sheet4.xml" Id="Rbdec273fce3c4145" /><Relationship Type="http://schemas.openxmlformats.org/officeDocument/2006/relationships/worksheet" Target="/xl/worksheets/sheet5.xml" Id="R96e027af22b34e00" /><Relationship Type="http://schemas.openxmlformats.org/officeDocument/2006/relationships/worksheet" Target="/xl/worksheets/sheet6.xml" Id="R3bcb8b7f664e48fa" /><Relationship Type="http://schemas.openxmlformats.org/officeDocument/2006/relationships/worksheet" Target="/xl/worksheets/sheet7.xml" Id="R314f2a1380584e86" /><Relationship Type="http://schemas.microsoft.com/office/2017/10/relationships/person" Target="/xl/persons/person.xml" Id="R7c2e37d5915e47e6" /></Relationships>
</file>

<file path=xl/persons/person.xml><?xml version="1.0" encoding="utf-8"?>
<xltc:personList xmlns:xltc="http://schemas.microsoft.com/office/spreadsheetml/2018/threadedcomments">
  <xltc:person displayName="V" id="{5FAEDD51-14AA-401E-8A2E-36010CDB3A36}"/>
</xltc:personList>
</file>

<file path=xl/tables/table1.xml><?xml version="1.0" encoding="utf-8"?>
<x:table xmlns:x="http://schemas.openxmlformats.org/spreadsheetml/2006/main" id="2" name="Top20ScreenTable" displayName="Top20ScreenTable" ref="A7:I27" headerRowCount="1" totalsRowCount="0" totalsRowShown="0">
  <x:tableColumns count="9">
    <x:tableColumn id="1" name="Screen rank"/>
    <x:tableColumn id="2" name="Project"/>
    <x:tableColumn id="3" name="Founder / team"/>
    <x:tableColumn id="4" name="Basis"/>
    <x:tableColumn id="5" name="Gross value (USD)"/>
    <x:tableColumn id="6" name="Known deductions (USD)"/>
    <x:tableColumn id="7" name="Provisional outside wealth (USD)"/>
    <x:tableColumn id="8" name="Canonical outside wealth (USD)"/>
    <x:tableColumn id="9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CandidateUniverseTable" displayName="CandidateUniverseTable" ref="A4:V34" headerRowCount="1" totalsRowCount="0" totalsRowShown="0">
  <x:tableColumns count="22">
    <x:tableColumn id="1" name="Gross screen rank"/>
    <x:tableColumn id="2" name="Project ID"/>
    <x:tableColumn id="3" name="Project / company"/>
    <x:tableColumn id="4" name="Ticker"/>
    <x:tableColumn id="5" name="Founder / team"/>
    <x:tableColumn id="6" name="Valuation basis"/>
    <x:tableColumn id="7" name="Gross value (USD)"/>
    <x:tableColumn id="8" name="Known founder/team excluded (USD)"/>
    <x:tableColumn id="9" name="Verified external capital (USD)"/>
    <x:tableColumn id="10" name="Other deductions (USD)"/>
    <x:tableColumn id="11" name="Provisional outside wealth (USD)"/>
    <x:tableColumn id="12" name="Canonical outside wealth (USD)"/>
    <x:tableColumn id="13" name="Canonical rank"/>
    <x:tableColumn id="14" name="Gross status"/>
    <x:tableColumn id="15" name="Founder holdings status"/>
    <x:tableColumn id="16" name="Capital status"/>
    <x:tableColumn id="17" name="Publication status"/>
    <x:tableColumn id="18" name="Gross source ID"/>
    <x:tableColumn id="19" name="Holdings source ID"/>
    <x:tableColumn id="20" name="Capital source ID"/>
    <x:tableColumn id="21" name="Eligibility / double-count note"/>
    <x:tableColumn id="22" name="Next research ac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alletEvidenceTable" displayName="WalletEvidenceTable" ref="A4:M36" headerRowCount="1" totalsRowCount="0" totalsRowShown="0">
  <x:tableColumns count="13">
    <x:tableColumn id="1" name="Project ID"/>
    <x:tableColumn id="2" name="Owner / entity"/>
    <x:tableColumn id="3" name="Chain"/>
    <x:tableColumn id="4" name="Address or entity"/>
    <x:tableColumn id="5" name="Evidence type"/>
    <x:tableColumn id="6" name="Attribution status"/>
    <x:tableColumn id="7" name="Confidence"/>
    <x:tableColumn id="8" name="Include in founder deduction?"/>
    <x:tableColumn id="9" name="Snapshot holdings (USD)"/>
    <x:tableColumn id="10" name="Source ID"/>
    <x:tableColumn id="11" name="Source URL"/>
    <x:tableColumn id="12" name="Notes"/>
    <x:tableColumn id="13" name="Review 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pitalEvidenceTable" displayName="CapitalEvidenceTable" ref="A4:H24" headerRowCount="1" totalsRowCount="0" totalsRowShown="0">
  <x:tableColumns count="8">
    <x:tableColumn id="1" name="Project ID"/>
    <x:tableColumn id="2" name="Capital type"/>
    <x:tableColumn id="3" name="Amount (USD)"/>
    <x:tableColumn id="4" name="Date / cutoff"/>
    <x:tableColumn id="5" name="Completeness"/>
    <x:tableColumn id="6" name="Source ID"/>
    <x:tableColumn id="7" name="Source URL"/>
    <x:tableColumn id="8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CatalogTable" displayName="SourceCatalogTable" ref="A4:G68" headerRowCount="1" totalsRowCount="0" totalsRowShown="0">
  <x:tableColumns count="7">
    <x:tableColumn id="1" name="Source ID"/>
    <x:tableColumn id="2" name="Category"/>
    <x:tableColumn id="3" name="Source name"/>
    <x:tableColumn id="4" name="As-of / publication date"/>
    <x:tableColumn id="5" name="URL"/>
    <x:tableColumn id="6" name="Quality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G5" dT="2026-07-30T16:24:43.1" personId="{5FAEDD51-14AA-401E-8A2E-36010CDB3A36}" id="{96C43A3F-D05D-DBEF-5F7B-EEA933F0C15C}">
    <xltc:text>Gross value source: CG-BTC. Snapshot 2026-07-30; refresh before publication.</xltc:text>
  </xltc:threadedComment>
  <xltc:threadedComment ref="H5" dT="2026-07-30T16:24:43.101" personId="{5FAEDD51-14AA-401E-8A2E-36010CDB3A36}" id="{176F63F2-BE6A-0C33-29DA-059865CDF8DA}">
    <xltc:text>Founder/team exclusion source: ARK-SATOSHI. Status: Partial.</xltc:text>
  </xltc:threadedComment>
  <xltc:threadedComment ref="I5" dT="2026-07-30T16:24:43.101" personId="{5FAEDD51-14AA-401E-8A2E-36010CDB3A36}" id="{C4A6A293-4545-69F8-2739-F606A623C0D2}">
    <xltc:text>External capital source: BTC-FAIR-LAUNCH. Status: Complete; partial amounts are verified minimums.</xltc:text>
  </xltc:threadedComment>
  <xltc:threadedComment ref="G6" dT="2026-07-30T16:24:43.101" personId="{5FAEDD51-14AA-401E-8A2E-36010CDB3A36}" id="{4F589744-07C7-FDE5-D871-FB45E208BAF5}">
    <xltc:text>Gross value source: CG-ETH. Snapshot 2026-07-30; refresh before publication.</xltc:text>
  </xltc:threadedComment>
  <xltc:threadedComment ref="I6" dT="2026-07-30T16:24:43.101" personId="{5FAEDD51-14AA-401E-8A2E-36010CDB3A36}" id="{FF6839B3-5A89-82B5-B007-6BC6A1DDAE44}">
    <xltc:text>External capital source: ETH-CROWDSALE. Status: Partial; partial amounts are verified minimums.</xltc:text>
  </xltc:threadedComment>
  <xltc:threadedComment ref="G7" dT="2026-07-30T16:24:43.101" personId="{5FAEDD51-14AA-401E-8A2E-36010CDB3A36}" id="{BE6E0268-3661-4A69-7D7B-440C82A87836}">
    <xltc:text>Gross value source: CG-BNB. Snapshot 2026-07-30; refresh before publication.</xltc:text>
  </xltc:threadedComment>
  <xltc:threadedComment ref="I7" dT="2026-07-30T16:24:43.101" personId="{5FAEDD51-14AA-401E-8A2E-36010CDB3A36}" id="{DEE580C1-01F7-0BDE-2B53-964F95AB332C}">
    <xltc:text>External capital source: BNB-ICO. Status: Partial; partial amounts are verified minimums.</xltc:text>
  </xltc:threadedComment>
  <xltc:threadedComment ref="G8" dT="2026-07-30T16:24:43.101" personId="{5FAEDD51-14AA-401E-8A2E-36010CDB3A36}" id="{56C05AA5-68BF-4114-5CBB-985887A8CB14}">
    <xltc:text>Gross value source: CG-XRP. Snapshot 2026-07-30; refresh before publication.</xltc:text>
  </xltc:threadedComment>
  <xltc:threadedComment ref="G9" dT="2026-07-30T16:24:43.101" personId="{5FAEDD51-14AA-401E-8A2E-36010CDB3A36}" id="{C87419AE-FF1D-A48A-0F2C-96F355DDFB38}">
    <xltc:text>Gross value source: CG-SOL. Snapshot 2026-07-30; refresh before publication.</xltc:text>
  </xltc:threadedComment>
  <xltc:threadedComment ref="I9" dT="2026-07-30T16:24:43.101" personId="{5FAEDD51-14AA-401E-8A2E-36010CDB3A36}" id="{4E61B7F7-E941-18C8-2EDB-12F24F107CDD}">
    <xltc:text>External capital source: SOL-2021-SALE. Status: Partial; partial amounts are verified minimums.</xltc:text>
  </xltc:threadedComment>
  <xltc:threadedComment ref="G10" dT="2026-07-30T16:24:43.101" personId="{5FAEDD51-14AA-401E-8A2E-36010CDB3A36}" id="{69D5E5E1-A265-FE0E-F1AF-05D3CFF948B0}">
    <xltc:text>Gross value source: COIN-MARKETCAP. Snapshot 2026-07-30; refresh before publication.</xltc:text>
  </xltc:threadedComment>
  <xltc:threadedComment ref="H10" dT="2026-07-30T16:24:43.101" personId="{5FAEDD51-14AA-401E-8A2E-36010CDB3A36}" id="{29B819E8-A952-C1EA-06DA-5A347C588E80}">
    <xltc:text>Founder/team exclusion source: COIN-PROXY-2026. Status: Complete.</xltc:text>
  </xltc:threadedComment>
  <xltc:threadedComment ref="I10" dT="2026-07-30T16:24:43.101" personId="{5FAEDD51-14AA-401E-8A2E-36010CDB3A36}" id="{42633714-20AC-2134-76E5-AA3F983CF0CB}">
    <xltc:text>External capital source: COIN-FUNDING. Status: Partial; partial amounts are verified minimums.</xltc:text>
  </xltc:threadedComment>
  <xltc:threadedComment ref="G11" dT="2026-07-30T16:24:43.101" personId="{5FAEDD51-14AA-401E-8A2E-36010CDB3A36}" id="{982B58A0-C514-D2DA-8812-7BA5F4B5D65C}">
    <xltc:text>Gross value source: CG-TRX. Snapshot 2026-07-30; refresh before publication.</xltc:text>
  </xltc:threadedComment>
  <xltc:threadedComment ref="I11" dT="2026-07-30T16:24:43.101" personId="{5FAEDD51-14AA-401E-8A2E-36010CDB3A36}" id="{04E5A0FE-F878-24D9-BB3E-3599F02A891A}">
    <xltc:text>External capital source: TRON-ICO. Status: Partial; partial amounts are verified minimums.</xltc:text>
  </xltc:threadedComment>
  <xltc:threadedComment ref="G12" dT="2026-07-30T16:24:43.101" personId="{5FAEDD51-14AA-401E-8A2E-36010CDB3A36}" id="{D647CBBD-819B-4E88-3E6E-402262F5B5C6}">
    <xltc:text>Gross value source: CG-HYPE. Snapshot 2026-07-30; refresh before publication.</xltc:text>
  </xltc:threadedComment>
  <xltc:threadedComment ref="I12" dT="2026-07-30T16:24:43.102" personId="{5FAEDD51-14AA-401E-8A2E-36010CDB3A36}" id="{140ADE59-A9C1-0BDC-0B75-4CF4D8D27030}">
    <xltc:text>External capital source: HYPE-SELF-FUNDED. Status: Partial; partial amounts are verified minimums.</xltc:text>
  </xltc:threadedComment>
  <xltc:threadedComment ref="G13" dT="2026-07-30T16:24:43.102" personId="{5FAEDD51-14AA-401E-8A2E-36010CDB3A36}" id="{2F332ED4-F6F0-D3D8-23AB-FC6E5FFDC22C}">
    <xltc:text>Gross value source: CG-DOGE. Snapshot 2026-07-30; refresh before publication.</xltc:text>
  </xltc:threadedComment>
  <xltc:threadedComment ref="H13" dT="2026-07-30T16:24:43.102" personId="{5FAEDD51-14AA-401E-8A2E-36010CDB3A36}" id="{A5787BD3-A9D1-6217-70C1-A9F713F17C74}">
    <xltc:text>Founder/team exclusion source: DOGE-DIVESTED. Status: Complete.</xltc:text>
  </xltc:threadedComment>
  <xltc:threadedComment ref="I13" dT="2026-07-30T16:24:43.102" personId="{5FAEDD51-14AA-401E-8A2E-36010CDB3A36}" id="{7B285968-A12B-89BD-BBC6-C9C3E2AEED61}">
    <xltc:text>External capital source: DOGE-FAIR-LAUNCH. Status: Complete; partial amounts are verified minimums.</xltc:text>
  </xltc:threadedComment>
  <xltc:threadedComment ref="G14" dT="2026-07-30T16:24:43.102" personId="{5FAEDD51-14AA-401E-8A2E-36010CDB3A36}" id="{B62354FE-5FBC-51EB-E749-63FF88C75D9B}">
    <xltc:text>Gross value source: CG-ADA. Snapshot 2026-07-30; refresh before publication.</xltc:text>
  </xltc:threadedComment>
  <xltc:threadedComment ref="I14" dT="2026-07-30T16:24:43.102" personId="{5FAEDD51-14AA-401E-8A2E-36010CDB3A36}" id="{6E34DCDB-D87A-9019-E7E9-34B800008110}">
    <xltc:text>External capital source: ADA-ICO. Status: Partial; partial amounts are verified minimums.</xltc:text>
  </xltc:threadedComment>
  <xltc:threadedComment ref="G15" dT="2026-07-30T16:24:43.102" personId="{5FAEDD51-14AA-401E-8A2E-36010CDB3A36}" id="{0B98E24C-8CA2-21E9-3480-F26493C5FE8F}">
    <xltc:text>Gross value source: CG-LINK. Snapshot 2026-07-30; refresh before publication.</xltc:text>
  </xltc:threadedComment>
  <xltc:threadedComment ref="I15" dT="2026-07-30T16:24:43.102" personId="{5FAEDD51-14AA-401E-8A2E-36010CDB3A36}" id="{9DB4BE56-3D05-8223-829D-D8049AF137D3}">
    <xltc:text>External capital source: LINK-ICO. Status: Partial; partial amounts are verified minimums.</xltc:text>
  </xltc:threadedComment>
  <xltc:threadedComment ref="G16" dT="2026-07-30T16:24:43.102" personId="{5FAEDD51-14AA-401E-8A2E-36010CDB3A36}" id="{AEBFF69C-03A8-A7B5-AE24-BFFD66C30FE5}">
    <xltc:text>Gross value source: CG-XLM. Snapshot 2026-07-30; refresh before publication.</xltc:text>
  </xltc:threadedComment>
  <xltc:threadedComment ref="I16" dT="2026-07-30T16:24:43.102" personId="{5FAEDD51-14AA-401E-8A2E-36010CDB3A36}" id="{6C71F934-BC48-3DCD-FBB6-C1FE5C77CDB2}">
    <xltc:text>External capital source: XLM-STRIPE. Status: Partial; partial amounts are verified minimums.</xltc:text>
  </xltc:threadedComment>
  <xltc:threadedComment ref="G17" dT="2026-07-30T16:24:43.102" personId="{5FAEDD51-14AA-401E-8A2E-36010CDB3A36}" id="{BB74BD92-8141-03FD-AE77-32B2B13D70FB}">
    <xltc:text>Gross value source: CG-CANTON. Snapshot 2026-07-30; refresh before publication.</xltc:text>
  </xltc:threadedComment>
  <xltc:threadedComment ref="G18" dT="2026-07-30T16:24:43.102" personId="{5FAEDD51-14AA-401E-8A2E-36010CDB3A36}" id="{BD6F2438-2D31-EA0B-13FA-A4B861C2571F}">
    <xltc:text>Gross value source: CG-LTC. Snapshot 2026-07-30; refresh before publication.</xltc:text>
  </xltc:threadedComment>
  <xltc:threadedComment ref="H18" dT="2026-07-30T16:24:43.102" personId="{5FAEDD51-14AA-401E-8A2E-36010CDB3A36}" id="{AB970606-E322-2E27-09C9-B523610B5B6F}">
    <xltc:text>Founder/team exclusion source: LTC-DIVESTED. Status: Complete.</xltc:text>
  </xltc:threadedComment>
  <xltc:threadedComment ref="I18" dT="2026-07-30T16:24:43.102" personId="{5FAEDD51-14AA-401E-8A2E-36010CDB3A36}" id="{4D4D30AD-7421-C4DC-ABC9-498DDB74F0D2}">
    <xltc:text>External capital source: LTC-FAIR-LAUNCH. Status: Complete; partial amounts are verified minimums.</xltc:text>
  </xltc:threadedComment>
  <xltc:threadedComment ref="G19" dT="2026-07-30T16:24:43.102" personId="{5FAEDD51-14AA-401E-8A2E-36010CDB3A36}" id="{0626EFB4-F649-B007-2224-6586B8018F9E}">
    <xltc:text>Gross value source: CG-HBAR. Snapshot 2026-07-30; refresh before publication.</xltc:text>
  </xltc:threadedComment>
  <xltc:threadedComment ref="I19" dT="2026-07-30T16:24:43.102" personId="{5FAEDD51-14AA-401E-8A2E-36010CDB3A36}" id="{ADC22089-83DC-7B43-7528-30EB7DC7A03B}">
    <xltc:text>External capital source: HBAR-SALES. Status: Partial; partial amounts are verified minimums.</xltc:text>
  </xltc:threadedComment>
  <xltc:threadedComment ref="G20" dT="2026-07-30T16:24:43.102" personId="{5FAEDD51-14AA-401E-8A2E-36010CDB3A36}" id="{8FEF2CE5-2F78-05E4-1A25-557E93668085}">
    <xltc:text>Gross value source: CG-SUI. Snapshot 2026-07-30; refresh before publication.</xltc:text>
  </xltc:threadedComment>
  <xltc:threadedComment ref="I20" dT="2026-07-30T16:24:43.102" personId="{5FAEDD51-14AA-401E-8A2E-36010CDB3A36}" id="{BD8CDDEB-BC8B-1698-9DDF-993039AB4AD9}">
    <xltc:text>External capital source: SUI-SERIES-B. Status: Partial; partial amounts are verified minimums.</xltc:text>
  </xltc:threadedComment>
  <xltc:threadedComment ref="G21" dT="2026-07-30T16:24:43.102" personId="{5FAEDD51-14AA-401E-8A2E-36010CDB3A36}" id="{9F3DBCE0-5254-172C-8904-8722325F7A91}">
    <xltc:text>Gross value source: CG-AVAX. Snapshot 2026-07-30; refresh before publication.</xltc:text>
  </xltc:threadedComment>
  <xltc:threadedComment ref="I21" dT="2026-07-30T16:24:43.102" personId="{5FAEDD51-14AA-401E-8A2E-36010CDB3A36}" id="{BEBEBB46-CBE2-FBD0-F64E-7C7D26C53524}">
    <xltc:text>External capital source: AVAX-2021-SALE. Status: Partial; partial amounts are verified minimums.</xltc:text>
  </xltc:threadedComment>
  <xltc:threadedComment ref="G22" dT="2026-07-30T16:24:43.102" personId="{5FAEDD51-14AA-401E-8A2E-36010CDB3A36}" id="{6F1BD043-B251-FEBF-233D-1284F704AF39}">
    <xltc:text>Gross value source: CG-UNI. Snapshot 2026-07-30; refresh before publication.</xltc:text>
  </xltc:threadedComment>
  <xltc:threadedComment ref="I22" dT="2026-07-30T16:24:43.102" personId="{5FAEDD51-14AA-401E-8A2E-36010CDB3A36}" id="{8EAA5FCE-90FA-820C-E4AA-EE417335B0E3}">
    <xltc:text>External capital source: UNI-SERIES-B. Status: Partial; partial amounts are verified minimums.</xltc:text>
  </xltc:threadedComment>
  <xltc:threadedComment ref="G23" dT="2026-07-30T16:24:43.102" personId="{5FAEDD51-14AA-401E-8A2E-36010CDB3A36}" id="{970285DD-2F45-7CFB-EB30-65683FD819BC}">
    <xltc:text>Gross value source: CG-NEAR. Snapshot 2026-07-30; refresh before publication.</xltc:text>
  </xltc:threadedComment>
  <xltc:threadedComment ref="I23" dT="2026-07-30T16:24:43.102" personId="{5FAEDD51-14AA-401E-8A2E-36010CDB3A36}" id="{22C1A61F-39F1-3247-366A-75E0DBD87BA9}">
    <xltc:text>External capital source: NEAR-2022-ROUND. Status: Partial; partial amounts are verified minimums.</xltc:text>
  </xltc:threadedComment>
  <xltc:threadedComment ref="G24" dT="2026-07-30T16:24:43.102" personId="{5FAEDD51-14AA-401E-8A2E-36010CDB3A36}" id="{7D4319DD-E043-3990-0928-25E4115A658D}">
    <xltc:text>Gross value source: CG-ONDO. Snapshot 2026-07-30; refresh before publication.</xltc:text>
  </xltc:threadedComment>
  <xltc:threadedComment ref="I24" dT="2026-07-30T16:24:43.102" personId="{5FAEDD51-14AA-401E-8A2E-36010CDB3A36}" id="{7B5F47EA-D596-1E23-9818-8B9B993FEE1A}">
    <xltc:text>External capital source: ONDO-SERIES-A. Status: Partial; partial amounts are verified minimums.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57fdef1e5447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9d759fde6aeb4d4f" /><Relationship Type="http://schemas.openxmlformats.org/officeDocument/2006/relationships/vmlDrawing" Target="/xl/drawings/vmldrawing.vml" Id="R8ca6e2c828dd4f9f" /><Relationship Type="http://schemas.microsoft.com/office/2017/10/relationships/threadedComment" Target="/xl/threadedcomments/threadedcomment.xml" Id="R7f5c72f06ca34dc7" /><Relationship Type="http://schemas.openxmlformats.org/officeDocument/2006/relationships/table" Target="/xl/tables/table2.xml" Id="Ree824c5b6d4e42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8b8076dbfe44b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c71f830f1424e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21ea933af214c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36" hidden="0" customWidth="1"/>
    <x:col min="4" max="4" width="30" hidden="0" customWidth="1"/>
    <x:col min="5" max="5" width="18" hidden="0" customWidth="1"/>
    <x:col min="6" max="6" width="18" hidden="0" customWidth="1"/>
    <x:col min="7" max="7" width="20" hidden="0" customWidth="1"/>
    <x:col min="8" max="8" width="20" hidden="0" customWidth="1"/>
    <x:col min="9" max="9" width="14" hidden="0" customWidth="1"/>
  </x:cols>
  <x:sheetData>
    <x:row r="1" ht="32" customHeight="1">
      <x:c r="A1" s="4" t="str">
        <x:v>Crypto founders &amp; teams — top 20 research screen</x:v>
      </x:c>
      <x:c r="B1" s="4"/>
      <x:c r="C1" s="4"/>
      <x:c r="D1" s="4"/>
      <x:c r="E1" s="4"/>
      <x:c r="F1" s="4"/>
      <x:c r="G1" s="4"/>
      <x:c r="H1" s="4"/>
      <x:c r="I1" s="4"/>
    </x:row>
    <x:row r="2" ht="30" customHeight="1">
      <x:c r="A2" s="8" t="str">
        <x:v>As of 2026-07-30. This is a gross-value screen, not a publication-ready final rank. Unknown deductions are never treated as zero in canonical scores.</x:v>
      </x:c>
      <x:c r="B2" s="8"/>
      <x:c r="C2" s="8"/>
      <x:c r="D2" s="8"/>
      <x:c r="E2" s="8"/>
      <x:c r="F2" s="8"/>
      <x:c r="G2" s="8"/>
      <x:c r="H2" s="8"/>
      <x:c r="I2" s="8"/>
    </x:row>
    <x:row r="4">
      <x:c r="A4" s="30" t="str">
        <x:v>Gross value — top 20</x:v>
      </x:c>
      <x:c r="B4" s="30"/>
      <x:c r="D4" s="30" t="str">
        <x:v>Known deductions — top 20</x:v>
      </x:c>
      <x:c r="E4" s="30"/>
      <x:c r="G4" s="30" t="str">
        <x:v>Provisional outside wealth</x:v>
      </x:c>
      <x:c r="H4" s="30"/>
      <x:c r="I4" s="30" t="str">
        <x:v>Ready rows</x:v>
      </x:c>
    </x:row>
    <x:row r="5">
      <x:c r="A5" s="35" t="n">
        <x:f>SUM('Candidate Universe'!$G$5:$G$24)</x:f>
        <x:v>1855999120865</x:v>
      </x:c>
      <x:c r="B5" s="36"/>
      <x:c r="D5" s="35" t="n">
        <x:f>SUM('Candidate Universe'!$H$5:$J$24)</x:f>
        <x:v>79338975179</x:v>
      </x:c>
      <x:c r="E5" s="36"/>
      <x:c r="G5" s="35" t="n">
        <x:f>SUM('Candidate Universe'!$K$5:$K$24)</x:f>
        <x:v>1776660145686</x:v>
      </x:c>
      <x:c r="H5" s="36"/>
      <x:c r="I5" s="39" t="n">
        <x:f>COUNTIF('Candidate Universe'!$Q$5:$Q$24,"Ready")</x:f>
        <x:v>2</x:v>
      </x:c>
    </x:row>
    <x:row r="7" ht="34" customHeight="1">
      <x:c r="A7" s="16" t="str">
        <x:v>Screen rank</x:v>
      </x:c>
      <x:c r="B7" s="17" t="str">
        <x:v>Project</x:v>
      </x:c>
      <x:c r="C7" s="17" t="str">
        <x:v>Founder / team</x:v>
      </x:c>
      <x:c r="D7" s="17" t="str">
        <x:v>Basis</x:v>
      </x:c>
      <x:c r="E7" s="17" t="str">
        <x:v>Gross value (USD)</x:v>
      </x:c>
      <x:c r="F7" s="17" t="str">
        <x:v>Known deductions (USD)</x:v>
      </x:c>
      <x:c r="G7" s="17" t="str">
        <x:v>Provisional outside wealth (USD)</x:v>
      </x:c>
      <x:c r="H7" s="17" t="str">
        <x:v>Canonical outside wealth (USD)</x:v>
      </x:c>
      <x:c r="I7" s="18" t="str">
        <x:v>Status</x:v>
      </x:c>
    </x:row>
    <x:row r="8">
      <x:c r="A8" s="40" t="n">
        <x:f>'Candidate Universe'!A5</x:f>
        <x:v>1</x:v>
      </x:c>
      <x:c r="B8" s="40" t="str">
        <x:f>'Candidate Universe'!C5</x:f>
        <x:v>Bitcoin</x:v>
      </x:c>
      <x:c r="C8" s="42" t="str">
        <x:f>'Candidate Universe'!E5</x:f>
        <x:v>Satoshi Nakamoto</x:v>
      </x:c>
      <x:c r="D8" s="42" t="str">
        <x:f>'Candidate Universe'!F5</x:f>
        <x:v>Circulating token market cap</x:v>
      </x:c>
      <x:c r="E8" s="41" t="n">
        <x:f>'Candidate Universe'!G5</x:f>
        <x:v>1296447935147</x:v>
      </x:c>
      <x:c r="F8" s="41" t="n">
        <x:f>SUM('Candidate Universe'!H5:J5)</x:f>
        <x:v>70960000000</x:v>
      </x:c>
      <x:c r="G8" s="41" t="n">
        <x:f>'Candidate Universe'!K5</x:f>
        <x:v>1225487935147</x:v>
      </x:c>
      <x:c r="H8" s="41" t="str">
        <x:f>'Candidate Universe'!L5</x:f>
      </x:c>
      <x:c r="I8" s="40" t="str">
        <x:f>'Candidate Universe'!Q5</x:f>
        <x:v>Research</x:v>
      </x:c>
    </x:row>
    <x:row r="9">
      <x:c r="A9" s="40" t="n">
        <x:f>'Candidate Universe'!A6</x:f>
        <x:v>2</x:v>
      </x:c>
      <x:c r="B9" s="40" t="str">
        <x:f>'Candidate Universe'!C6</x:f>
        <x:v>Ethereum</x:v>
      </x:c>
      <x:c r="C9" s="42" t="str">
        <x:f>'Candidate Universe'!E6</x:f>
        <x:v>Vitalik Buterin; Gavin Wood; Joseph Lubin; Anthony Di Iorio; Charles Hoskinson; Mihai Alisie; Amir Chetrit; Jeffrey Wilcke</x:v>
      </x:c>
      <x:c r="D9" s="42" t="str">
        <x:f>'Candidate Universe'!F6</x:f>
        <x:v>Circulating token market cap</x:v>
      </x:c>
      <x:c r="E9" s="41" t="n">
        <x:f>'Candidate Universe'!G6</x:f>
        <x:v>231153969086</x:v>
      </x:c>
      <x:c r="F9" s="41" t="n">
        <x:f>SUM('Candidate Universe'!H6:J6)</x:f>
        <x:v>18300000</x:v>
      </x:c>
      <x:c r="G9" s="41" t="n">
        <x:f>'Candidate Universe'!K6</x:f>
        <x:v>231135669086</x:v>
      </x:c>
      <x:c r="H9" s="41" t="str">
        <x:f>'Candidate Universe'!L6</x:f>
      </x:c>
      <x:c r="I9" s="40" t="str">
        <x:f>'Candidate Universe'!Q6</x:f>
        <x:v>Research</x:v>
      </x:c>
    </x:row>
    <x:row r="10">
      <x:c r="A10" s="40" t="n">
        <x:f>'Candidate Universe'!A7</x:f>
        <x:v>3</x:v>
      </x:c>
      <x:c r="B10" s="40" t="str">
        <x:f>'Candidate Universe'!C7</x:f>
        <x:v>BNB / Binance ecosystem</x:v>
      </x:c>
      <x:c r="C10" s="42" t="str">
        <x:f>'Candidate Universe'!E7</x:f>
        <x:v>Changpeng Zhao (CZ); Yi He; Binance founding team</x:v>
      </x:c>
      <x:c r="D10" s="42" t="str">
        <x:f>'Candidate Universe'!F7</x:f>
        <x:v>Circulating BNB market cap; private Binance value is context only</x:v>
      </x:c>
      <x:c r="E10" s="41" t="n">
        <x:f>'Candidate Universe'!G7</x:f>
        <x:v>78194865897</x:v>
      </x:c>
      <x:c r="F10" s="41" t="n">
        <x:f>SUM('Candidate Universe'!H7:J7)</x:f>
        <x:v>15000000</x:v>
      </x:c>
      <x:c r="G10" s="41" t="n">
        <x:f>'Candidate Universe'!K7</x:f>
        <x:v>78179865897</x:v>
      </x:c>
      <x:c r="H10" s="41" t="str">
        <x:f>'Candidate Universe'!L7</x:f>
      </x:c>
      <x:c r="I10" s="40" t="str">
        <x:f>'Candidate Universe'!Q7</x:f>
        <x:v>Research</x:v>
      </x:c>
    </x:row>
    <x:row r="11">
      <x:c r="A11" s="40" t="n">
        <x:f>'Candidate Universe'!A8</x:f>
        <x:v>4</x:v>
      </x:c>
      <x:c r="B11" s="40" t="str">
        <x:f>'Candidate Universe'!C8</x:f>
        <x:v>XRP Ledger / Ripple</x:v>
      </x:c>
      <x:c r="C11" s="42" t="str">
        <x:f>'Candidate Universe'!E8</x:f>
        <x:v>Chris Larsen; Jed McCaleb; Arthur Britto; Ripple founding team</x:v>
      </x:c>
      <x:c r="D11" s="42" t="str">
        <x:f>'Candidate Universe'!F8</x:f>
        <x:v>Circulating XRP market cap</x:v>
      </x:c>
      <x:c r="E11" s="41" t="n">
        <x:f>'Candidate Universe'!G8</x:f>
        <x:v>67887424457</x:v>
      </x:c>
      <x:c r="F11" s="41" t="n">
        <x:f>SUM('Candidate Universe'!H8:J8)</x:f>
        <x:v>0</x:v>
      </x:c>
      <x:c r="G11" s="41" t="n">
        <x:f>'Candidate Universe'!K8</x:f>
        <x:v>67887424457</x:v>
      </x:c>
      <x:c r="H11" s="41" t="str">
        <x:f>'Candidate Universe'!L8</x:f>
      </x:c>
      <x:c r="I11" s="40" t="str">
        <x:f>'Candidate Universe'!Q8</x:f>
        <x:v>Research</x:v>
      </x:c>
    </x:row>
    <x:row r="12">
      <x:c r="A12" s="40" t="n">
        <x:f>'Candidate Universe'!A9</x:f>
        <x:v>5</x:v>
      </x:c>
      <x:c r="B12" s="40" t="str">
        <x:f>'Candidate Universe'!C9</x:f>
        <x:v>Solana</x:v>
      </x:c>
      <x:c r="C12" s="42" t="str">
        <x:f>'Candidate Universe'!E9</x:f>
        <x:v>Anatoly Yakovenko; Raj Gokal; Solana founding team</x:v>
      </x:c>
      <x:c r="D12" s="42" t="str">
        <x:f>'Candidate Universe'!F9</x:f>
        <x:v>Circulating token market cap</x:v>
      </x:c>
      <x:c r="E12" s="41" t="n">
        <x:f>'Candidate Universe'!G9</x:f>
        <x:v>43201212821</x:v>
      </x:c>
      <x:c r="F12" s="41" t="n">
        <x:f>SUM('Candidate Universe'!H9:J9)</x:f>
        <x:v>314159265</x:v>
      </x:c>
      <x:c r="G12" s="41" t="n">
        <x:f>'Candidate Universe'!K9</x:f>
        <x:v>42887053556</x:v>
      </x:c>
      <x:c r="H12" s="41" t="str">
        <x:f>'Candidate Universe'!L9</x:f>
      </x:c>
      <x:c r="I12" s="40" t="str">
        <x:f>'Candidate Universe'!Q9</x:f>
        <x:v>Research</x:v>
      </x:c>
    </x:row>
    <x:row r="13">
      <x:c r="A13" s="40" t="n">
        <x:f>'Candidate Universe'!A10</x:f>
        <x:v>6</x:v>
      </x:c>
      <x:c r="B13" s="40" t="str">
        <x:f>'Candidate Universe'!C10</x:f>
        <x:v>Coinbase Global</x:v>
      </x:c>
      <x:c r="C13" s="42" t="str">
        <x:f>'Candidate Universe'!E10</x:f>
        <x:v>Brian Armstrong; Fred Ehrsam</x:v>
      </x:c>
      <x:c r="D13" s="42" t="str">
        <x:f>'Candidate Universe'!F10</x:f>
        <x:v>Public-equity market capitalization</x:v>
      </x:c>
      <x:c r="E13" s="41" t="n">
        <x:f>'Candidate Universe'!G10</x:f>
        <x:v>42599649750</x:v>
      </x:c>
      <x:c r="F13" s="41" t="n">
        <x:f>SUM('Candidate Universe'!H10:J10)</x:f>
        <x:v>6875315914</x:v>
      </x:c>
      <x:c r="G13" s="41" t="n">
        <x:f>'Candidate Universe'!K10</x:f>
        <x:v>35724333836</x:v>
      </x:c>
      <x:c r="H13" s="41" t="str">
        <x:f>'Candidate Universe'!L10</x:f>
      </x:c>
      <x:c r="I13" s="40" t="str">
        <x:f>'Candidate Universe'!Q10</x:f>
        <x:v>Research</x:v>
      </x:c>
    </x:row>
    <x:row r="14">
      <x:c r="A14" s="40" t="n">
        <x:f>'Candidate Universe'!A11</x:f>
        <x:v>7</x:v>
      </x:c>
      <x:c r="B14" s="40" t="str">
        <x:f>'Candidate Universe'!C11</x:f>
        <x:v>TRON</x:v>
      </x:c>
      <x:c r="C14" s="42" t="str">
        <x:f>'Candidate Universe'!E11</x:f>
        <x:v>Justin Sun; TRON founding team</x:v>
      </x:c>
      <x:c r="D14" s="42" t="str">
        <x:f>'Candidate Universe'!F11</x:f>
        <x:v>Circulating token market cap</x:v>
      </x:c>
      <x:c r="E14" s="41" t="n">
        <x:f>'Candidate Universe'!G11</x:f>
        <x:v>31174100463</x:v>
      </x:c>
      <x:c r="F14" s="41" t="n">
        <x:f>SUM('Candidate Universe'!H11:J11)</x:f>
        <x:v>70000000</x:v>
      </x:c>
      <x:c r="G14" s="41" t="n">
        <x:f>'Candidate Universe'!K11</x:f>
        <x:v>31104100463</x:v>
      </x:c>
      <x:c r="H14" s="41" t="str">
        <x:f>'Candidate Universe'!L11</x:f>
      </x:c>
      <x:c r="I14" s="40" t="str">
        <x:f>'Candidate Universe'!Q11</x:f>
        <x:v>Research</x:v>
      </x:c>
    </x:row>
    <x:row r="15">
      <x:c r="A15" s="40" t="n">
        <x:f>'Candidate Universe'!A12</x:f>
        <x:v>8</x:v>
      </x:c>
      <x:c r="B15" s="40" t="str">
        <x:f>'Candidate Universe'!C12</x:f>
        <x:v>Hyperliquid</x:v>
      </x:c>
      <x:c r="C15" s="42" t="str">
        <x:f>'Candidate Universe'!E12</x:f>
        <x:v>Jeff Yan; Hyperliquid Labs founding team</x:v>
      </x:c>
      <x:c r="D15" s="42" t="str">
        <x:f>'Candidate Universe'!F12</x:f>
        <x:v>Circulating token market cap</x:v>
      </x:c>
      <x:c r="E15" s="41" t="n">
        <x:f>'Candidate Universe'!G12</x:f>
        <x:v>11939164442</x:v>
      </x:c>
      <x:c r="F15" s="41" t="n">
        <x:f>SUM('Candidate Universe'!H12:J12)</x:f>
        <x:v>0</x:v>
      </x:c>
      <x:c r="G15" s="41" t="n">
        <x:f>'Candidate Universe'!K12</x:f>
        <x:v>11939164442</x:v>
      </x:c>
      <x:c r="H15" s="41" t="str">
        <x:f>'Candidate Universe'!L12</x:f>
      </x:c>
      <x:c r="I15" s="40" t="str">
        <x:f>'Candidate Universe'!Q12</x:f>
        <x:v>Research</x:v>
      </x:c>
    </x:row>
    <x:row r="16">
      <x:c r="A16" s="40" t="n">
        <x:f>'Candidate Universe'!A13</x:f>
        <x:v>9</x:v>
      </x:c>
      <x:c r="B16" s="40" t="str">
        <x:f>'Candidate Universe'!C13</x:f>
        <x:v>Dogecoin</x:v>
      </x:c>
      <x:c r="C16" s="42" t="str">
        <x:f>'Candidate Universe'!E13</x:f>
        <x:v>Billy Markus; Jackson Palmer</x:v>
      </x:c>
      <x:c r="D16" s="42" t="str">
        <x:f>'Candidate Universe'!F13</x:f>
        <x:v>Circulating token market cap</x:v>
      </x:c>
      <x:c r="E16" s="41" t="n">
        <x:f>'Candidate Universe'!G13</x:f>
        <x:v>10942616226</x:v>
      </x:c>
      <x:c r="F16" s="41" t="n">
        <x:f>SUM('Candidate Universe'!H13:J13)</x:f>
        <x:v>0</x:v>
      </x:c>
      <x:c r="G16" s="41" t="n">
        <x:f>'Candidate Universe'!K13</x:f>
        <x:v>10942616226</x:v>
      </x:c>
      <x:c r="H16" s="41" t="n">
        <x:f>'Candidate Universe'!L13</x:f>
        <x:v>10942616226</x:v>
      </x:c>
      <x:c r="I16" s="40" t="str">
        <x:f>'Candidate Universe'!Q13</x:f>
        <x:v>Ready</x:v>
      </x:c>
    </x:row>
    <x:row r="17">
      <x:c r="A17" s="40" t="n">
        <x:f>'Candidate Universe'!A14</x:f>
        <x:v>10</x:v>
      </x:c>
      <x:c r="B17" s="40" t="str">
        <x:f>'Candidate Universe'!C14</x:f>
        <x:v>Cardano</x:v>
      </x:c>
      <x:c r="C17" s="42" t="str">
        <x:f>'Candidate Universe'!E14</x:f>
        <x:v>Charles Hoskinson; Jeremy Wood; Input Output founding team</x:v>
      </x:c>
      <x:c r="D17" s="42" t="str">
        <x:f>'Candidate Universe'!F14</x:f>
        <x:v>Circulating token market cap</x:v>
      </x:c>
      <x:c r="E17" s="41" t="n">
        <x:f>'Candidate Universe'!G14</x:f>
        <x:v>6433515401</x:v>
      </x:c>
      <x:c r="F17" s="41" t="n">
        <x:f>SUM('Candidate Universe'!H14:J14)</x:f>
        <x:v>62200000</x:v>
      </x:c>
      <x:c r="G17" s="41" t="n">
        <x:f>'Candidate Universe'!K14</x:f>
        <x:v>6371315401</x:v>
      </x:c>
      <x:c r="H17" s="41" t="str">
        <x:f>'Candidate Universe'!L14</x:f>
      </x:c>
      <x:c r="I17" s="40" t="str">
        <x:f>'Candidate Universe'!Q14</x:f>
        <x:v>Research</x:v>
      </x:c>
    </x:row>
    <x:row r="18">
      <x:c r="A18" s="40" t="n">
        <x:f>'Candidate Universe'!A15</x:f>
        <x:v>11</x:v>
      </x:c>
      <x:c r="B18" s="40" t="str">
        <x:f>'Candidate Universe'!C15</x:f>
        <x:v>Chainlink</x:v>
      </x:c>
      <x:c r="C18" s="42" t="str">
        <x:f>'Candidate Universe'!E15</x:f>
        <x:v>Sergey Nazarov; Steve Ellis</x:v>
      </x:c>
      <x:c r="D18" s="42" t="str">
        <x:f>'Candidate Universe'!F15</x:f>
        <x:v>Circulating token market cap</x:v>
      </x:c>
      <x:c r="E18" s="41" t="n">
        <x:f>'Candidate Universe'!G15</x:f>
        <x:v>6345994966</x:v>
      </x:c>
      <x:c r="F18" s="41" t="n">
        <x:f>SUM('Candidate Universe'!H15:J15)</x:f>
        <x:v>32000000</x:v>
      </x:c>
      <x:c r="G18" s="41" t="n">
        <x:f>'Candidate Universe'!K15</x:f>
        <x:v>6313994966</x:v>
      </x:c>
      <x:c r="H18" s="41" t="str">
        <x:f>'Candidate Universe'!L15</x:f>
      </x:c>
      <x:c r="I18" s="40" t="str">
        <x:f>'Candidate Universe'!Q15</x:f>
        <x:v>Research</x:v>
      </x:c>
    </x:row>
    <x:row r="19">
      <x:c r="A19" s="40" t="n">
        <x:f>'Candidate Universe'!A16</x:f>
        <x:v>12</x:v>
      </x:c>
      <x:c r="B19" s="40" t="str">
        <x:f>'Candidate Universe'!C16</x:f>
        <x:v>Stellar</x:v>
      </x:c>
      <x:c r="C19" s="42" t="str">
        <x:f>'Candidate Universe'!E16</x:f>
        <x:v>Jed McCaleb; Joyce Kim; Stellar founding team</x:v>
      </x:c>
      <x:c r="D19" s="42" t="str">
        <x:f>'Candidate Universe'!F16</x:f>
        <x:v>Circulating token market cap</x:v>
      </x:c>
      <x:c r="E19" s="41" t="n">
        <x:f>'Candidate Universe'!G16</x:f>
        <x:v>5890690284</x:v>
      </x:c>
      <x:c r="F19" s="41" t="n">
        <x:f>SUM('Candidate Universe'!H16:J16)</x:f>
        <x:v>3000000</x:v>
      </x:c>
      <x:c r="G19" s="41" t="n">
        <x:f>'Candidate Universe'!K16</x:f>
        <x:v>5887690284</x:v>
      </x:c>
      <x:c r="H19" s="41" t="str">
        <x:f>'Candidate Universe'!L16</x:f>
      </x:c>
      <x:c r="I19" s="40" t="str">
        <x:f>'Candidate Universe'!Q16</x:f>
        <x:v>Research</x:v>
      </x:c>
    </x:row>
    <x:row r="20">
      <x:c r="A20" s="40" t="n">
        <x:f>'Candidate Universe'!A17</x:f>
        <x:v>13</x:v>
      </x:c>
      <x:c r="B20" s="40" t="str">
        <x:f>'Candidate Universe'!C17</x:f>
        <x:v>Canton Network</x:v>
      </x:c>
      <x:c r="C20" s="42" t="str">
        <x:f>'Candidate Universe'!E17</x:f>
        <x:v>Digital Asset / Canton founding contributors</x:v>
      </x:c>
      <x:c r="D20" s="42" t="str">
        <x:f>'Candidate Universe'!F17</x:f>
        <x:v>Circulating token market cap</x:v>
      </x:c>
      <x:c r="E20" s="41" t="n">
        <x:f>'Candidate Universe'!G17</x:f>
        <x:v>4819272709</x:v>
      </x:c>
      <x:c r="F20" s="41" t="n">
        <x:f>SUM('Candidate Universe'!H17:J17)</x:f>
        <x:v>0</x:v>
      </x:c>
      <x:c r="G20" s="41" t="n">
        <x:f>'Candidate Universe'!K17</x:f>
        <x:v>4819272709</x:v>
      </x:c>
      <x:c r="H20" s="41" t="str">
        <x:f>'Candidate Universe'!L17</x:f>
      </x:c>
      <x:c r="I20" s="40" t="str">
        <x:f>'Candidate Universe'!Q17</x:f>
        <x:v>Research</x:v>
      </x:c>
    </x:row>
    <x:row r="21">
      <x:c r="A21" s="40" t="n">
        <x:f>'Candidate Universe'!A18</x:f>
        <x:v>14</x:v>
      </x:c>
      <x:c r="B21" s="40" t="str">
        <x:f>'Candidate Universe'!C18</x:f>
        <x:v>Litecoin</x:v>
      </x:c>
      <x:c r="C21" s="42" t="str">
        <x:f>'Candidate Universe'!E18</x:f>
        <x:v>Charlie Lee</x:v>
      </x:c>
      <x:c r="D21" s="42" t="str">
        <x:f>'Candidate Universe'!F18</x:f>
        <x:v>Circulating token market cap</x:v>
      </x:c>
      <x:c r="E21" s="41" t="n">
        <x:f>'Candidate Universe'!G18</x:f>
        <x:v>3502057761</x:v>
      </x:c>
      <x:c r="F21" s="41" t="n">
        <x:f>SUM('Candidate Universe'!H18:J18)</x:f>
        <x:v>0</x:v>
      </x:c>
      <x:c r="G21" s="41" t="n">
        <x:f>'Candidate Universe'!K18</x:f>
        <x:v>3502057761</x:v>
      </x:c>
      <x:c r="H21" s="41" t="n">
        <x:f>'Candidate Universe'!L18</x:f>
        <x:v>3502057761</x:v>
      </x:c>
      <x:c r="I21" s="40" t="str">
        <x:f>'Candidate Universe'!Q18</x:f>
        <x:v>Ready</x:v>
      </x:c>
    </x:row>
    <x:row r="22">
      <x:c r="A22" s="40" t="n">
        <x:f>'Candidate Universe'!A19</x:f>
        <x:v>15</x:v>
      </x:c>
      <x:c r="B22" s="40" t="str">
        <x:f>'Candidate Universe'!C19</x:f>
        <x:v>Hedera</x:v>
      </x:c>
      <x:c r="C22" s="42" t="str">
        <x:f>'Candidate Universe'!E19</x:f>
        <x:v>Leemon Baird; Mance Harmon</x:v>
      </x:c>
      <x:c r="D22" s="42" t="str">
        <x:f>'Candidate Universe'!F19</x:f>
        <x:v>Circulating token market cap</x:v>
      </x:c>
      <x:c r="E22" s="41" t="n">
        <x:f>'Candidate Universe'!G19</x:f>
        <x:v>2985291799</x:v>
      </x:c>
      <x:c r="F22" s="41" t="n">
        <x:f>SUM('Candidate Universe'!H19:J19)</x:f>
        <x:v>124000000</x:v>
      </x:c>
      <x:c r="G22" s="41" t="n">
        <x:f>'Candidate Universe'!K19</x:f>
        <x:v>2861291799</x:v>
      </x:c>
      <x:c r="H22" s="41" t="str">
        <x:f>'Candidate Universe'!L19</x:f>
      </x:c>
      <x:c r="I22" s="40" t="str">
        <x:f>'Candidate Universe'!Q19</x:f>
        <x:v>Research</x:v>
      </x:c>
    </x:row>
    <x:row r="23">
      <x:c r="A23" s="40" t="n">
        <x:f>'Candidate Universe'!A20</x:f>
        <x:v>16</x:v>
      </x:c>
      <x:c r="B23" s="40" t="str">
        <x:f>'Candidate Universe'!C20</x:f>
        <x:v>Sui / Mysten Labs</x:v>
      </x:c>
      <x:c r="C23" s="42" t="str">
        <x:f>'Candidate Universe'!E20</x:f>
        <x:v>Evan Cheng; Sam Blackshear; Adeniyi Abiodun; George Danezis; Kostas Chalkias</x:v>
      </x:c>
      <x:c r="D23" s="42" t="str">
        <x:f>'Candidate Universe'!F20</x:f>
        <x:v>Circulating token market cap</x:v>
      </x:c>
      <x:c r="E23" s="41" t="n">
        <x:f>'Candidate Universe'!G20</x:f>
        <x:v>2821745291</x:v>
      </x:c>
      <x:c r="F23" s="41" t="n">
        <x:f>SUM('Candidate Universe'!H20:J20)</x:f>
        <x:v>300000000</x:v>
      </x:c>
      <x:c r="G23" s="41" t="n">
        <x:f>'Candidate Universe'!K20</x:f>
        <x:v>2521745291</x:v>
      </x:c>
      <x:c r="H23" s="41" t="str">
        <x:f>'Candidate Universe'!L20</x:f>
      </x:c>
      <x:c r="I23" s="40" t="str">
        <x:f>'Candidate Universe'!Q20</x:f>
        <x:v>Research</x:v>
      </x:c>
    </x:row>
    <x:row r="24">
      <x:c r="A24" s="40" t="n">
        <x:f>'Candidate Universe'!A21</x:f>
        <x:v>17</x:v>
      </x:c>
      <x:c r="B24" s="40" t="str">
        <x:f>'Candidate Universe'!C21</x:f>
        <x:v>Avalanche / Ava Labs</x:v>
      </x:c>
      <x:c r="C24" s="42" t="str">
        <x:f>'Candidate Universe'!E21</x:f>
        <x:v>Emin Gün Sirer; Kevin Sekniqi; Maofan 'Ted' Yin</x:v>
      </x:c>
      <x:c r="D24" s="42" t="str">
        <x:f>'Candidate Universe'!F21</x:f>
        <x:v>Circulating token market cap</x:v>
      </x:c>
      <x:c r="E24" s="41" t="n">
        <x:f>'Candidate Universe'!G21</x:f>
        <x:v>2799772525</x:v>
      </x:c>
      <x:c r="F24" s="41" t="n">
        <x:f>SUM('Candidate Universe'!H21:J21)</x:f>
        <x:v>230000000</x:v>
      </x:c>
      <x:c r="G24" s="41" t="n">
        <x:f>'Candidate Universe'!K21</x:f>
        <x:v>2569772525</x:v>
      </x:c>
      <x:c r="H24" s="41" t="str">
        <x:f>'Candidate Universe'!L21</x:f>
      </x:c>
      <x:c r="I24" s="40" t="str">
        <x:f>'Candidate Universe'!Q21</x:f>
        <x:v>Research</x:v>
      </x:c>
    </x:row>
    <x:row r="25">
      <x:c r="A25" s="40" t="n">
        <x:f>'Candidate Universe'!A22</x:f>
        <x:v>18</x:v>
      </x:c>
      <x:c r="B25" s="40" t="str">
        <x:f>'Candidate Universe'!C22</x:f>
        <x:v>Uniswap / Uniswap Labs</x:v>
      </x:c>
      <x:c r="C25" s="42" t="str">
        <x:f>'Candidate Universe'!E22</x:f>
        <x:v>Hayden Adams; Uniswap Labs founding team</x:v>
      </x:c>
      <x:c r="D25" s="42" t="str">
        <x:f>'Candidate Universe'!F22</x:f>
        <x:v>Circulating token market cap</x:v>
      </x:c>
      <x:c r="E25" s="41" t="n">
        <x:f>'Candidate Universe'!G22</x:f>
        <x:v>2682944726</x:v>
      </x:c>
      <x:c r="F25" s="41" t="n">
        <x:f>SUM('Candidate Universe'!H22:J22)</x:f>
        <x:v>165000000</x:v>
      </x:c>
      <x:c r="G25" s="41" t="n">
        <x:f>'Candidate Universe'!K22</x:f>
        <x:v>2517944726</x:v>
      </x:c>
      <x:c r="H25" s="41" t="str">
        <x:f>'Candidate Universe'!L22</x:f>
      </x:c>
      <x:c r="I25" s="40" t="str">
        <x:f>'Candidate Universe'!Q22</x:f>
        <x:v>Research</x:v>
      </x:c>
    </x:row>
    <x:row r="26">
      <x:c r="A26" s="40" t="n">
        <x:f>'Candidate Universe'!A23</x:f>
        <x:v>19</x:v>
      </x:c>
      <x:c r="B26" s="40" t="str">
        <x:f>'Candidate Universe'!C23</x:f>
        <x:v>NEAR Protocol</x:v>
      </x:c>
      <x:c r="C26" s="42" t="str">
        <x:f>'Candidate Universe'!E23</x:f>
        <x:v>Illia Polosukhin; Alexander Skidanov</x:v>
      </x:c>
      <x:c r="D26" s="42" t="str">
        <x:f>'Candidate Universe'!F23</x:f>
        <x:v>Circulating token market cap</x:v>
      </x:c>
      <x:c r="E26" s="41" t="n">
        <x:f>'Candidate Universe'!G23</x:f>
        <x:v>2145544810</x:v>
      </x:c>
      <x:c r="F26" s="41" t="n">
        <x:f>SUM('Candidate Universe'!H23:J23)</x:f>
        <x:v>150000000</x:v>
      </x:c>
      <x:c r="G26" s="41" t="n">
        <x:f>'Candidate Universe'!K23</x:f>
        <x:v>1995544810</x:v>
      </x:c>
      <x:c r="H26" s="41" t="str">
        <x:f>'Candidate Universe'!L23</x:f>
      </x:c>
      <x:c r="I26" s="40" t="str">
        <x:f>'Candidate Universe'!Q23</x:f>
        <x:v>Research</x:v>
      </x:c>
    </x:row>
    <x:row r="27">
      <x:c r="A27" s="40" t="n">
        <x:f>'Candidate Universe'!A24</x:f>
        <x:v>20</x:v>
      </x:c>
      <x:c r="B27" s="40" t="str">
        <x:f>'Candidate Universe'!C24</x:f>
        <x:v>Ondo Finance</x:v>
      </x:c>
      <x:c r="C27" s="42" t="str">
        <x:f>'Candidate Universe'!E24</x:f>
        <x:v>Nathan Allman; Pinku Surana</x:v>
      </x:c>
      <x:c r="D27" s="42" t="str">
        <x:f>'Candidate Universe'!F24</x:f>
        <x:v>Circulating token market cap</x:v>
      </x:c>
      <x:c r="E27" s="41" t="n">
        <x:f>'Candidate Universe'!G24</x:f>
        <x:v>2031352304</x:v>
      </x:c>
      <x:c r="F27" s="41" t="n">
        <x:f>SUM('Candidate Universe'!H24:J24)</x:f>
        <x:v>20000000</x:v>
      </x:c>
      <x:c r="G27" s="41" t="n">
        <x:f>'Candidate Universe'!K24</x:f>
        <x:v>2011352304</x:v>
      </x:c>
      <x:c r="H27" s="41" t="str">
        <x:f>'Candidate Universe'!L24</x:f>
      </x:c>
      <x:c r="I27" s="40" t="str">
        <x:f>'Candidate Universe'!Q24</x:f>
        <x:v>Research</x:v>
      </x:c>
    </x:row>
  </x:sheetData>
  <x:mergeCells>
    <x:mergeCell ref="A1:I1"/>
    <x:mergeCell ref="A2:I2"/>
    <x:mergeCell ref="A4:B4"/>
    <x:mergeCell ref="A5:B5"/>
    <x:mergeCell ref="D4:E4"/>
    <x:mergeCell ref="D5:E5"/>
    <x:mergeCell ref="G4:H4"/>
    <x:mergeCell ref="G5:H5"/>
  </x:mergeCells>
  <x:conditionalFormatting sqref="I8:I27">
    <x:cfRule type="containsText" dxfId="14" priority="1" operator="containsText" text="Ready"/>
    <x:cfRule type="containsText" dxfId="15" priority="2" operator="containsText" text="Research"/>
  </x:conditionalFormatting>
  <x:pageMargins left="0.7" right="0.7" top="0.75" bottom="0.75" header="0.3" footer="0.3"/>
  <x:tableParts count="1">
    <x:tablePart xmlns:r="http://schemas.openxmlformats.org/officeDocument/2006/relationships" r:id="R5d57fdef1e5447a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7" hidden="0" customWidth="1"/>
    <x:col min="3" max="3" width="24" hidden="0" customWidth="1"/>
    <x:col min="4" max="4" width="9" hidden="0" customWidth="1"/>
    <x:col min="5" max="5" width="34" hidden="0" customWidth="1"/>
    <x:col min="6" max="6" width="28" hidden="0" customWidth="1"/>
    <x:col min="7" max="7" width="18" hidden="0" customWidth="1"/>
    <x:col min="8" max="8" width="20" hidden="0" customWidth="1"/>
    <x:col min="9" max="9" width="18" hidden="0" customWidth="1"/>
    <x:col min="10" max="10" width="16" hidden="0" customWidth="1"/>
    <x:col min="11" max="11" width="20" hidden="0" customWidth="1"/>
    <x:col min="12" max="12" width="20" hidden="0" customWidth="1"/>
    <x:col min="13" max="13" width="11" hidden="0" customWidth="1"/>
    <x:col min="14" max="14" width="12" hidden="0" customWidth="1"/>
    <x:col min="15" max="15" width="17" hidden="0" customWidth="1"/>
    <x:col min="16" max="16" width="13" hidden="0" customWidth="1"/>
    <x:col min="17" max="17" width="14" hidden="0" customWidth="1"/>
    <x:col min="18" max="18" width="16" hidden="0" customWidth="1"/>
    <x:col min="19" max="19" width="16" hidden="0" customWidth="1"/>
    <x:col min="20" max="20" width="16" hidden="0" customWidth="1"/>
    <x:col min="21" max="21" width="42" hidden="0" customWidth="1"/>
    <x:col min="22" max="22" width="42" hidden="0" customWidth="1"/>
  </x:cols>
  <x:sheetData>
    <x:row r="1" ht="32" customHeight="1">
      <x:c r="A1" s="4" t="str">
        <x:v>Candidate universe — crypto founder/team outside wealth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</x:row>
    <x:row r="2" ht="30" customHeight="1">
      <x:c r="A2" s="8" t="str">
        <x:v>Snapshot 2026-07-30. Screen rank is by gross value. Provisional scores subtract only known deductions; canonical scores remain blank until all required inputs are complete.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</x:row>
    <x:row r="4" ht="34" customHeight="1">
      <x:c r="A4" s="16" t="str">
        <x:v>Gross screen rank</x:v>
      </x:c>
      <x:c r="B4" s="17" t="str">
        <x:v>Project ID</x:v>
      </x:c>
      <x:c r="C4" s="17" t="str">
        <x:v>Project / company</x:v>
      </x:c>
      <x:c r="D4" s="17" t="str">
        <x:v>Ticker</x:v>
      </x:c>
      <x:c r="E4" s="17" t="str">
        <x:v>Founder / team</x:v>
      </x:c>
      <x:c r="F4" s="17" t="str">
        <x:v>Valuation basis</x:v>
      </x:c>
      <x:c r="G4" s="17" t="str">
        <x:v>Gross value (USD)</x:v>
      </x:c>
      <x:c r="H4" s="17" t="str">
        <x:v>Known founder/team excluded (USD)</x:v>
      </x:c>
      <x:c r="I4" s="17" t="str">
        <x:v>Verified external capital (USD)</x:v>
      </x:c>
      <x:c r="J4" s="17" t="str">
        <x:v>Other deductions (USD)</x:v>
      </x:c>
      <x:c r="K4" s="17" t="str">
        <x:v>Provisional outside wealth (USD)</x:v>
      </x:c>
      <x:c r="L4" s="17" t="str">
        <x:v>Canonical outside wealth (USD)</x:v>
      </x:c>
      <x:c r="M4" s="17" t="str">
        <x:v>Canonical rank</x:v>
      </x:c>
      <x:c r="N4" s="17" t="str">
        <x:v>Gross status</x:v>
      </x:c>
      <x:c r="O4" s="17" t="str">
        <x:v>Founder holdings status</x:v>
      </x:c>
      <x:c r="P4" s="17" t="str">
        <x:v>Capital status</x:v>
      </x:c>
      <x:c r="Q4" s="17" t="str">
        <x:v>Publication status</x:v>
      </x:c>
      <x:c r="R4" s="17" t="str">
        <x:v>Gross source ID</x:v>
      </x:c>
      <x:c r="S4" s="17" t="str">
        <x:v>Holdings source ID</x:v>
      </x:c>
      <x:c r="T4" s="17" t="str">
        <x:v>Capital source ID</x:v>
      </x:c>
      <x:c r="U4" s="17" t="str">
        <x:v>Eligibility / double-count note</x:v>
      </x:c>
      <x:c r="V4" s="18" t="str">
        <x:v>Next research action</x:v>
      </x:c>
    </x:row>
    <x:row r="5">
      <x:c r="A5" s="23" t="n">
        <x:v>1</x:v>
      </x:c>
      <x:c r="B5" s="23" t="str">
        <x:v>bitcoin</x:v>
      </x:c>
      <x:c r="C5" s="23" t="str">
        <x:v>Bitcoin</x:v>
      </x:c>
      <x:c r="D5" s="23" t="str">
        <x:v>BTC</x:v>
      </x:c>
      <x:c r="E5" s="27" t="str">
        <x:v>Satoshi Nakamoto</x:v>
      </x:c>
      <x:c r="F5" s="27" t="str">
        <x:v>Circulating token market cap</x:v>
      </x:c>
      <x:c r="G5" s="24" t="n">
        <x:v>1296447935147</x:v>
      </x:c>
      <x:c r="H5" s="24" t="n">
        <x:v>70960000000</x:v>
      </x:c>
      <x:c r="I5" s="24" t="n">
        <x:v>0</x:v>
      </x:c>
      <x:c r="J5" s="24" t="n">
        <x:v>0</x:v>
      </x:c>
      <x:c r="K5" s="25" t="n">
        <x:f>IF(G5="","",MAX(0,G5-IF(H5="",0,H5)-IF(I5="",0,I5)-IF(J5="",0,J5)))</x:f>
        <x:v>1225487935147</x:v>
      </x:c>
      <x:c r="L5" s="25" t="str">
        <x:f>IF(AND(N5="Complete",O5="Complete",P5="Complete"),MAX(0,G5-H5-I5-IF(J5="",0,J5)),"")</x:f>
      </x:c>
      <x:c r="M5" s="26" t="str">
        <x:f>IF(L5="","",COUNTIF($L$5:$L$34,"&gt;"&amp;L5)+1)</x:f>
      </x:c>
      <x:c r="N5" s="28" t="str">
        <x:v>Complete</x:v>
      </x:c>
      <x:c r="O5" s="28" t="str">
        <x:v>Partial</x:v>
      </x:c>
      <x:c r="P5" s="28" t="str">
        <x:v>Complete</x:v>
      </x:c>
      <x:c r="Q5" s="28" t="str">
        <x:f>IF(AND(N5="Complete",O5="Complete",P5="Complete"),"Ready","Research")</x:f>
        <x:v>Research</x:v>
      </x:c>
      <x:c r="R5" s="23" t="str">
        <x:v>CG-BTC</x:v>
      </x:c>
      <x:c r="S5" s="23" t="str">
        <x:v>ARK-SATOSHI</x:v>
      </x:c>
      <x:c r="T5" s="23" t="str">
        <x:v>BTC-FAIR-LAUNCH</x:v>
      </x:c>
      <x:c r="U5" s="27" t="str">
        <x:v>Eligible. Deduct the Satoshi cluster only to the extent its BTC is included in circulating supply.</x:v>
      </x:c>
      <x:c r="V5" s="27" t="str">
        <x:v>Reprice the attributed Satoshi cluster at the same BTC price used for market cap; reconcile cluster size.</x:v>
      </x:c>
    </x:row>
    <x:row r="6">
      <x:c r="A6" s="23" t="n">
        <x:v>2</x:v>
      </x:c>
      <x:c r="B6" s="23" t="str">
        <x:v>ethereum</x:v>
      </x:c>
      <x:c r="C6" s="23" t="str">
        <x:v>Ethereum</x:v>
      </x:c>
      <x:c r="D6" s="23" t="str">
        <x:v>ETH</x:v>
      </x:c>
      <x:c r="E6" s="27" t="str">
        <x:v>Vitalik Buterin; Gavin Wood; Joseph Lubin; Anthony Di Iorio; Charles Hoskinson; Mihai Alisie; Amir Chetrit; Jeffrey Wilcke</x:v>
      </x:c>
      <x:c r="F6" s="27" t="str">
        <x:v>Circulating token market cap</x:v>
      </x:c>
      <x:c r="G6" s="24" t="n">
        <x:v>231153969086</x:v>
      </x:c>
      <x:c r="H6" s="24"/>
      <x:c r="I6" s="24" t="n">
        <x:v>18300000</x:v>
      </x:c>
      <x:c r="J6" s="24" t="n">
        <x:v>0</x:v>
      </x:c>
      <x:c r="K6" s="25" t="n">
        <x:f>IF(G6="","",MAX(0,G6-IF(H6="",0,H6)-IF(I6="",0,I6)-IF(J6="",0,J6)))</x:f>
        <x:v>231135669086</x:v>
      </x:c>
      <x:c r="L6" s="25" t="str">
        <x:f>IF(AND(N6="Complete",O6="Complete",P6="Complete"),MAX(0,G6-H6-I6-IF(J6="",0,J6)),"")</x:f>
      </x:c>
      <x:c r="M6" s="26" t="str">
        <x:f>IF(L6="","",COUNTIF($L$5:$L$34,"&gt;"&amp;L6)+1)</x:f>
      </x:c>
      <x:c r="N6" s="28" t="str">
        <x:v>Complete</x:v>
      </x:c>
      <x:c r="O6" s="28" t="str">
        <x:v>Partial</x:v>
      </x:c>
      <x:c r="P6" s="28" t="str">
        <x:v>Partial</x:v>
      </x:c>
      <x:c r="Q6" s="28" t="str">
        <x:f>IF(AND(N6="Complete",O6="Complete",P6="Complete"),"Ready","Research")</x:f>
        <x:v>Research</x:v>
      </x:c>
      <x:c r="R6" s="23" t="str">
        <x:v>CG-ETH</x:v>
      </x:c>
      <x:c r="S6" s="23" t="str">
        <x:v>ARK-VITALIK</x:v>
      </x:c>
      <x:c r="T6" s="23" t="str">
        <x:v>ETH-CROWDSALE</x:v>
      </x:c>
      <x:c r="U6" s="27" t="str">
        <x:v>Eligible. Do not treat Ethereum Foundation treasury as personal founder wealth without a control rule.</x:v>
      </x:c>
      <x:c r="V6" s="27" t="str">
        <x:v>Aggregate current founder-controlled circulating ETH across supported addresses; reconcile all primary-sale/equity capital.</x:v>
      </x:c>
    </x:row>
    <x:row r="7">
      <x:c r="A7" s="23" t="n">
        <x:v>3</x:v>
      </x:c>
      <x:c r="B7" s="23" t="str">
        <x:v>bnb</x:v>
      </x:c>
      <x:c r="C7" s="23" t="str">
        <x:v>BNB / Binance ecosystem</x:v>
      </x:c>
      <x:c r="D7" s="23" t="str">
        <x:v>BNB</x:v>
      </x:c>
      <x:c r="E7" s="27" t="str">
        <x:v>Changpeng Zhao (CZ); Yi He; Binance founding team</x:v>
      </x:c>
      <x:c r="F7" s="27" t="str">
        <x:v>Circulating BNB market cap; private Binance value is context only</x:v>
      </x:c>
      <x:c r="G7" s="24" t="n">
        <x:v>78194865897</x:v>
      </x:c>
      <x:c r="H7" s="24"/>
      <x:c r="I7" s="24" t="n">
        <x:v>15000000</x:v>
      </x:c>
      <x:c r="J7" s="24" t="n">
        <x:v>0</x:v>
      </x:c>
      <x:c r="K7" s="25" t="n">
        <x:f>IF(G7="","",MAX(0,G7-IF(H7="",0,H7)-IF(I7="",0,I7)-IF(J7="",0,J7)))</x:f>
        <x:v>78179865897</x:v>
      </x:c>
      <x:c r="L7" s="25" t="str">
        <x:f>IF(AND(N7="Complete",O7="Complete",P7="Complete"),MAX(0,G7-H7-I7-IF(J7="",0,J7)),"")</x:f>
      </x:c>
      <x:c r="M7" s="26" t="str">
        <x:f>IF(L7="","",COUNTIF($L$5:$L$34,"&gt;"&amp;L7)+1)</x:f>
      </x:c>
      <x:c r="N7" s="28" t="str">
        <x:v>Complete</x:v>
      </x:c>
      <x:c r="O7" s="28" t="str">
        <x:v>Missing</x:v>
      </x:c>
      <x:c r="P7" s="28" t="str">
        <x:v>Partial</x:v>
      </x:c>
      <x:c r="Q7" s="28" t="str">
        <x:f>IF(AND(N7="Complete",O7="Complete",P7="Complete"),"Ready","Research")</x:f>
        <x:v>Research</x:v>
      </x:c>
      <x:c r="R7" s="23" t="str">
        <x:v>CG-BNB</x:v>
      </x:c>
      <x:c r="S7" s="23" t="str">
        <x:v>CZ-WALLET</x:v>
      </x:c>
      <x:c r="T7" s="23" t="str">
        <x:v>BNB-ICO</x:v>
      </x:c>
      <x:c r="U7" s="27" t="str">
        <x:v>Eligible on a token-only basis. Do not add a private Binance enterprise valuation to BNB market cap without a double-count bridge.</x:v>
      </x:c>
      <x:c r="V7" s="27" t="str">
        <x:v>Identify CZ/Yi He/Binance-controlled circulating BNB and reconcile ICO plus later external company financing.</x:v>
      </x:c>
    </x:row>
    <x:row r="8">
      <x:c r="A8" s="23" t="n">
        <x:v>4</x:v>
      </x:c>
      <x:c r="B8" s="23" t="str">
        <x:v>xrp</x:v>
      </x:c>
      <x:c r="C8" s="23" t="str">
        <x:v>XRP Ledger / Ripple</x:v>
      </x:c>
      <x:c r="D8" s="23" t="str">
        <x:v>XRP</x:v>
      </x:c>
      <x:c r="E8" s="27" t="str">
        <x:v>Chris Larsen; Jed McCaleb; Arthur Britto; Ripple founding team</x:v>
      </x:c>
      <x:c r="F8" s="27" t="str">
        <x:v>Circulating XRP market cap</x:v>
      </x:c>
      <x:c r="G8" s="24" t="n">
        <x:v>67887424457</x:v>
      </x:c>
      <x:c r="H8" s="24"/>
      <x:c r="I8" s="24"/>
      <x:c r="J8" s="24" t="n">
        <x:v>0</x:v>
      </x:c>
      <x:c r="K8" s="25" t="n">
        <x:f>IF(G8="","",MAX(0,G8-IF(H8="",0,H8)-IF(I8="",0,I8)-IF(J8="",0,J8)))</x:f>
        <x:v>67887424457</x:v>
      </x:c>
      <x:c r="L8" s="25" t="str">
        <x:f>IF(AND(N8="Complete",O8="Complete",P8="Complete"),MAX(0,G8-H8-I8-IF(J8="",0,J8)),"")</x:f>
      </x:c>
      <x:c r="M8" s="26" t="str">
        <x:f>IF(L8="","",COUNTIF($L$5:$L$34,"&gt;"&amp;L8)+1)</x:f>
      </x:c>
      <x:c r="N8" s="28" t="str">
        <x:v>Complete</x:v>
      </x:c>
      <x:c r="O8" s="28" t="str">
        <x:v>Partial</x:v>
      </x:c>
      <x:c r="P8" s="28" t="str">
        <x:v>Missing</x:v>
      </x:c>
      <x:c r="Q8" s="28" t="str">
        <x:f>IF(AND(N8="Complete",O8="Complete",P8="Complete"),"Ready","Research")</x:f>
        <x:v>Research</x:v>
      </x:c>
      <x:c r="R8" s="23" t="str">
        <x:v>CG-XRP</x:v>
      </x:c>
      <x:c r="S8" s="23" t="str">
        <x:v>XRP-LARSEN</x:v>
      </x:c>
      <x:c r="T8" s="23" t="str"/>
      <x:c r="U8" s="27" t="str">
        <x:v>Eligible if founder and company-controlled circulating XRP are separated. Escrow not in circulating supply must not be deducted twice.</x:v>
      </x:c>
      <x:c r="V8" s="27" t="str">
        <x:v>Reconcile founder wallets, Ripple-controlled circulating balances, escrow treatment, and Ripple equity capital.</x:v>
      </x:c>
    </x:row>
    <x:row r="9">
      <x:c r="A9" s="23" t="n">
        <x:v>5</x:v>
      </x:c>
      <x:c r="B9" s="23" t="str">
        <x:v>solana</x:v>
      </x:c>
      <x:c r="C9" s="23" t="str">
        <x:v>Solana</x:v>
      </x:c>
      <x:c r="D9" s="23" t="str">
        <x:v>SOL</x:v>
      </x:c>
      <x:c r="E9" s="27" t="str">
        <x:v>Anatoly Yakovenko; Raj Gokal; Solana founding team</x:v>
      </x:c>
      <x:c r="F9" s="27" t="str">
        <x:v>Circulating token market cap</x:v>
      </x:c>
      <x:c r="G9" s="24" t="n">
        <x:v>43201212821</x:v>
      </x:c>
      <x:c r="H9" s="24"/>
      <x:c r="I9" s="24" t="n">
        <x:v>314159265</x:v>
      </x:c>
      <x:c r="J9" s="24" t="n">
        <x:v>0</x:v>
      </x:c>
      <x:c r="K9" s="25" t="n">
        <x:f>IF(G9="","",MAX(0,G9-IF(H9="",0,H9)-IF(I9="",0,I9)-IF(J9="",0,J9)))</x:f>
        <x:v>42887053556</x:v>
      </x:c>
      <x:c r="L9" s="25" t="str">
        <x:f>IF(AND(N9="Complete",O9="Complete",P9="Complete"),MAX(0,G9-H9-I9-IF(J9="",0,J9)),"")</x:f>
      </x:c>
      <x:c r="M9" s="26" t="str">
        <x:f>IF(L9="","",COUNTIF($L$5:$L$34,"&gt;"&amp;L9)+1)</x:f>
      </x:c>
      <x:c r="N9" s="28" t="str">
        <x:v>Complete</x:v>
      </x:c>
      <x:c r="O9" s="28" t="str">
        <x:v>Partial</x:v>
      </x:c>
      <x:c r="P9" s="28" t="str">
        <x:v>Partial</x:v>
      </x:c>
      <x:c r="Q9" s="28" t="str">
        <x:f>IF(AND(N9="Complete",O9="Complete",P9="Complete"),"Ready","Research")</x:f>
        <x:v>Research</x:v>
      </x:c>
      <x:c r="R9" s="23" t="str">
        <x:v>CG-SOL</x:v>
      </x:c>
      <x:c r="S9" s="23" t="str">
        <x:v>ARK-ANATOLY</x:v>
      </x:c>
      <x:c r="T9" s="23" t="str">
        <x:v>SOL-2021-SALE</x:v>
      </x:c>
      <x:c r="U9" s="27" t="str">
        <x:v>Eligible. Team/investor tokens excluded from circulating supply cannot be deducted again.</x:v>
      </x:c>
      <x:c r="V9" s="27" t="str">
        <x:v>Confirm Anatoly-linked wallets; add other founder/team wallets and all earlier rounds/token sales.</x:v>
      </x:c>
    </x:row>
    <x:row r="10">
      <x:c r="A10" s="23" t="n">
        <x:v>6</x:v>
      </x:c>
      <x:c r="B10" s="23" t="str">
        <x:v>coinbase</x:v>
      </x:c>
      <x:c r="C10" s="23" t="str">
        <x:v>Coinbase Global</x:v>
      </x:c>
      <x:c r="D10" s="23" t="str">
        <x:v>COIN</x:v>
      </x:c>
      <x:c r="E10" s="27" t="str">
        <x:v>Brian Armstrong; Fred Ehrsam</x:v>
      </x:c>
      <x:c r="F10" s="27" t="str">
        <x:v>Public-equity market capitalization</x:v>
      </x:c>
      <x:c r="G10" s="24" t="n">
        <x:v>42599649750</x:v>
      </x:c>
      <x:c r="H10" s="24" t="n">
        <x:v>6328015914</x:v>
      </x:c>
      <x:c r="I10" s="24" t="n">
        <x:v>547300000</x:v>
      </x:c>
      <x:c r="J10" s="24" t="n">
        <x:v>0</x:v>
      </x:c>
      <x:c r="K10" s="25" t="n">
        <x:f>IF(G10="","",MAX(0,G10-IF(H10="",0,H10)-IF(I10="",0,I10)-IF(J10="",0,J10)))</x:f>
        <x:v>35724333836</x:v>
      </x:c>
      <x:c r="L10" s="25" t="str">
        <x:f>IF(AND(N10="Complete",O10="Complete",P10="Complete"),MAX(0,G10-H10-I10-IF(J10="",0,J10)),"")</x:f>
      </x:c>
      <x:c r="M10" s="26" t="str">
        <x:f>IF(L10="","",COUNTIF($L$5:$L$34,"&gt;"&amp;L10)+1)</x:f>
      </x:c>
      <x:c r="N10" s="28" t="str">
        <x:v>Complete</x:v>
      </x:c>
      <x:c r="O10" s="28" t="str">
        <x:v>Complete</x:v>
      </x:c>
      <x:c r="P10" s="28" t="str">
        <x:v>Partial</x:v>
      </x:c>
      <x:c r="Q10" s="28" t="str">
        <x:f>IF(AND(N10="Complete",O10="Complete",P10="Complete"),"Ready","Research")</x:f>
        <x:v>Research</x:v>
      </x:c>
      <x:c r="R10" s="23" t="str">
        <x:v>COIN-MARKETCAP</x:v>
      </x:c>
      <x:c r="S10" s="23" t="str">
        <x:v>COIN-PROXY-2026</x:v>
      </x:c>
      <x:c r="T10" s="23" t="str">
        <x:v>COIN-FUNDING</x:v>
      </x:c>
      <x:c r="U10" s="27" t="str">
        <x:v>Eligible via equity methodology. Personal crypto wallets are supplementary and must not replace SEC share ownership.</x:v>
      </x:c>
      <x:c r="V10" s="27" t="str">
        <x:v>Reconcile the $547.3M funding figure against every pre-listing primary equity round; refresh price and share counts together.</x:v>
      </x:c>
    </x:row>
    <x:row r="11">
      <x:c r="A11" s="23" t="n">
        <x:v>7</x:v>
      </x:c>
      <x:c r="B11" s="23" t="str">
        <x:v>tron</x:v>
      </x:c>
      <x:c r="C11" s="23" t="str">
        <x:v>TRON</x:v>
      </x:c>
      <x:c r="D11" s="23" t="str">
        <x:v>TRX</x:v>
      </x:c>
      <x:c r="E11" s="27" t="str">
        <x:v>Justin Sun; TRON founding team</x:v>
      </x:c>
      <x:c r="F11" s="27" t="str">
        <x:v>Circulating token market cap</x:v>
      </x:c>
      <x:c r="G11" s="24" t="n">
        <x:v>31174100463</x:v>
      </x:c>
      <x:c r="H11" s="24"/>
      <x:c r="I11" s="24" t="n">
        <x:v>70000000</x:v>
      </x:c>
      <x:c r="J11" s="24" t="n">
        <x:v>0</x:v>
      </x:c>
      <x:c r="K11" s="25" t="n">
        <x:f>IF(G11="","",MAX(0,G11-IF(H11="",0,H11)-IF(I11="",0,I11)-IF(J11="",0,J11)))</x:f>
        <x:v>31104100463</x:v>
      </x:c>
      <x:c r="L11" s="25" t="str">
        <x:f>IF(AND(N11="Complete",O11="Complete",P11="Complete"),MAX(0,G11-H11-I11-IF(J11="",0,J11)),"")</x:f>
      </x:c>
      <x:c r="M11" s="26" t="str">
        <x:f>IF(L11="","",COUNTIF($L$5:$L$34,"&gt;"&amp;L11)+1)</x:f>
      </x:c>
      <x:c r="N11" s="28" t="str">
        <x:v>Complete</x:v>
      </x:c>
      <x:c r="O11" s="28" t="str">
        <x:v>Partial</x:v>
      </x:c>
      <x:c r="P11" s="28" t="str">
        <x:v>Partial</x:v>
      </x:c>
      <x:c r="Q11" s="28" t="str">
        <x:f>IF(AND(N11="Complete",O11="Complete",P11="Complete"),"Ready","Research")</x:f>
        <x:v>Research</x:v>
      </x:c>
      <x:c r="R11" s="23" t="str">
        <x:v>CG-TRX</x:v>
      </x:c>
      <x:c r="S11" s="23" t="str">
        <x:v>ARK-JUSTIN</x:v>
      </x:c>
      <x:c r="T11" s="23" t="str">
        <x:v>TRON-ICO</x:v>
      </x:c>
      <x:c r="U11" s="27" t="str">
        <x:v>Eligible. Justin Sun entity labels include multi-chain assets; count only founder-controlled circulating TRX in the TRX score.</x:v>
      </x:c>
      <x:c r="V11" s="27" t="str">
        <x:v>Extract circulating TRX across verified Justin Sun/team wallets; verify primary-sale and equity capital.</x:v>
      </x:c>
    </x:row>
    <x:row r="12">
      <x:c r="A12" s="23" t="n">
        <x:v>8</x:v>
      </x:c>
      <x:c r="B12" s="23" t="str">
        <x:v>hyperliquid</x:v>
      </x:c>
      <x:c r="C12" s="23" t="str">
        <x:v>Hyperliquid</x:v>
      </x:c>
      <x:c r="D12" s="23" t="str">
        <x:v>HYPE</x:v>
      </x:c>
      <x:c r="E12" s="27" t="str">
        <x:v>Jeff Yan; Hyperliquid Labs founding team</x:v>
      </x:c>
      <x:c r="F12" s="27" t="str">
        <x:v>Circulating token market cap</x:v>
      </x:c>
      <x:c r="G12" s="24" t="n">
        <x:v>11939164442</x:v>
      </x:c>
      <x:c r="H12" s="24"/>
      <x:c r="I12" s="24" t="n">
        <x:v>0</x:v>
      </x:c>
      <x:c r="J12" s="24" t="n">
        <x:v>0</x:v>
      </x:c>
      <x:c r="K12" s="25" t="n">
        <x:f>IF(G12="","",MAX(0,G12-IF(H12="",0,H12)-IF(I12="",0,I12)-IF(J12="",0,J12)))</x:f>
        <x:v>11939164442</x:v>
      </x:c>
      <x:c r="L12" s="25" t="str">
        <x:f>IF(AND(N12="Complete",O12="Complete",P12="Complete"),MAX(0,G12-H12-I12-IF(J12="",0,J12)),"")</x:f>
      </x:c>
      <x:c r="M12" s="26" t="str">
        <x:f>IF(L12="","",COUNTIF($L$5:$L$34,"&gt;"&amp;L12)+1)</x:f>
      </x:c>
      <x:c r="N12" s="28" t="str">
        <x:v>Complete</x:v>
      </x:c>
      <x:c r="O12" s="28" t="str">
        <x:v>Missing</x:v>
      </x:c>
      <x:c r="P12" s="28" t="str">
        <x:v>Partial</x:v>
      </x:c>
      <x:c r="Q12" s="28" t="str">
        <x:f>IF(AND(N12="Complete",O12="Complete",P12="Complete"),"Ready","Research")</x:f>
        <x:v>Research</x:v>
      </x:c>
      <x:c r="R12" s="23" t="str">
        <x:v>CG-HYPE</x:v>
      </x:c>
      <x:c r="S12" s="23" t="str"/>
      <x:c r="T12" s="23" t="str">
        <x:v>HYPE-SELF-FUNDED</x:v>
      </x:c>
      <x:c r="U12" s="27" t="str">
        <x:v>Eligible. Locked future-contributor allocations may already be outside circulating supply.</x:v>
      </x:c>
      <x:c r="V12" s="27" t="str">
        <x:v>Verify self-funded claim as a complete capital history; attribute founder/team circulating HYPE without counting locked allocations twice.</x:v>
      </x:c>
    </x:row>
    <x:row r="13">
      <x:c r="A13" s="23" t="n">
        <x:v>9</x:v>
      </x:c>
      <x:c r="B13" s="23" t="str">
        <x:v>dogecoin</x:v>
      </x:c>
      <x:c r="C13" s="23" t="str">
        <x:v>Dogecoin</x:v>
      </x:c>
      <x:c r="D13" s="23" t="str">
        <x:v>DOGE</x:v>
      </x:c>
      <x:c r="E13" s="27" t="str">
        <x:v>Billy Markus; Jackson Palmer</x:v>
      </x:c>
      <x:c r="F13" s="27" t="str">
        <x:v>Circulating token market cap</x:v>
      </x:c>
      <x:c r="G13" s="24" t="n">
        <x:v>10942616226</x:v>
      </x:c>
      <x:c r="H13" s="24" t="n">
        <x:v>0</x:v>
      </x:c>
      <x:c r="I13" s="24" t="n">
        <x:v>0</x:v>
      </x:c>
      <x:c r="J13" s="24" t="n">
        <x:v>0</x:v>
      </x:c>
      <x:c r="K13" s="25" t="n">
        <x:f>IF(G13="","",MAX(0,G13-IF(H13="",0,H13)-IF(I13="",0,I13)-IF(J13="",0,J13)))</x:f>
        <x:v>10942616226</x:v>
      </x:c>
      <x:c r="L13" s="25" t="n">
        <x:f>IF(AND(N13="Complete",O13="Complete",P13="Complete"),MAX(0,G13-H13-I13-IF(J13="",0,J13)),"")</x:f>
        <x:v>10942616226</x:v>
      </x:c>
      <x:c r="M13" s="26" t="n">
        <x:f>IF(L13="","",COUNTIF($L$5:$L$34,"&gt;"&amp;L13)+1)</x:f>
        <x:v>1</x:v>
      </x:c>
      <x:c r="N13" s="28" t="str">
        <x:v>Complete</x:v>
      </x:c>
      <x:c r="O13" s="28" t="str">
        <x:v>Complete</x:v>
      </x:c>
      <x:c r="P13" s="28" t="str">
        <x:v>Complete</x:v>
      </x:c>
      <x:c r="Q13" s="28" t="str">
        <x:f>IF(AND(N13="Complete",O13="Complete",P13="Complete"),"Ready","Research")</x:f>
        <x:v>Ready</x:v>
      </x:c>
      <x:c r="R13" s="23" t="str">
        <x:v>CG-DOGE</x:v>
      </x:c>
      <x:c r="S13" s="23" t="str">
        <x:v>DOGE-DIVESTED</x:v>
      </x:c>
      <x:c r="T13" s="23" t="str">
        <x:v>DOGE-FAIR-LAUNCH</x:v>
      </x:c>
      <x:c r="U13" s="27" t="str">
        <x:v>Eligible as a fair-launch project. Founder divestment evidence is declaration-based, not a complete wallet audit.</x:v>
      </x:c>
      <x:c r="V13" s="27" t="str">
        <x:v>Reconfirm no founder/team allocation and document any currently attributed founder DOGE holdings.</x:v>
      </x:c>
    </x:row>
    <x:row r="14">
      <x:c r="A14" s="23" t="n">
        <x:v>10</x:v>
      </x:c>
      <x:c r="B14" s="23" t="str">
        <x:v>cardano</x:v>
      </x:c>
      <x:c r="C14" s="23" t="str">
        <x:v>Cardano</x:v>
      </x:c>
      <x:c r="D14" s="23" t="str">
        <x:v>ADA</x:v>
      </x:c>
      <x:c r="E14" s="27" t="str">
        <x:v>Charles Hoskinson; Jeremy Wood; Input Output founding team</x:v>
      </x:c>
      <x:c r="F14" s="27" t="str">
        <x:v>Circulating token market cap</x:v>
      </x:c>
      <x:c r="G14" s="24" t="n">
        <x:v>6433515401</x:v>
      </x:c>
      <x:c r="H14" s="24"/>
      <x:c r="I14" s="24" t="n">
        <x:v>62200000</x:v>
      </x:c>
      <x:c r="J14" s="24" t="n">
        <x:v>0</x:v>
      </x:c>
      <x:c r="K14" s="25" t="n">
        <x:f>IF(G14="","",MAX(0,G14-IF(H14="",0,H14)-IF(I14="",0,I14)-IF(J14="",0,J14)))</x:f>
        <x:v>6371315401</x:v>
      </x:c>
      <x:c r="L14" s="25" t="str">
        <x:f>IF(AND(N14="Complete",O14="Complete",P14="Complete"),MAX(0,G14-H14-I14-IF(J14="",0,J14)),"")</x:f>
      </x:c>
      <x:c r="M14" s="26" t="str">
        <x:f>IF(L14="","",COUNTIF($L$5:$L$34,"&gt;"&amp;L14)+1)</x:f>
      </x:c>
      <x:c r="N14" s="28" t="str">
        <x:v>Complete</x:v>
      </x:c>
      <x:c r="O14" s="28" t="str">
        <x:v>Missing</x:v>
      </x:c>
      <x:c r="P14" s="28" t="str">
        <x:v>Partial</x:v>
      </x:c>
      <x:c r="Q14" s="28" t="str">
        <x:f>IF(AND(N14="Complete",O14="Complete",P14="Complete"),"Ready","Research")</x:f>
        <x:v>Research</x:v>
      </x:c>
      <x:c r="R14" s="23" t="str">
        <x:v>CG-ADA</x:v>
      </x:c>
      <x:c r="S14" s="23" t="str"/>
      <x:c r="T14" s="23" t="str">
        <x:v>ADA-ICO</x:v>
      </x:c>
      <x:c r="U14" s="27" t="str">
        <x:v>Eligible. Separate founder/company holdings from foundation and treasury assets.</x:v>
      </x:c>
      <x:c r="V14" s="27" t="str">
        <x:v>Locate attributable founder/company ADA wallets and reconcile the multi-stage token sale.</x:v>
      </x:c>
    </x:row>
    <x:row r="15">
      <x:c r="A15" s="23" t="n">
        <x:v>11</x:v>
      </x:c>
      <x:c r="B15" s="23" t="str">
        <x:v>chainlink</x:v>
      </x:c>
      <x:c r="C15" s="23" t="str">
        <x:v>Chainlink</x:v>
      </x:c>
      <x:c r="D15" s="23" t="str">
        <x:v>LINK</x:v>
      </x:c>
      <x:c r="E15" s="27" t="str">
        <x:v>Sergey Nazarov; Steve Ellis</x:v>
      </x:c>
      <x:c r="F15" s="27" t="str">
        <x:v>Circulating token market cap</x:v>
      </x:c>
      <x:c r="G15" s="24" t="n">
        <x:v>6345994966</x:v>
      </x:c>
      <x:c r="H15" s="24"/>
      <x:c r="I15" s="24" t="n">
        <x:v>32000000</x:v>
      </x:c>
      <x:c r="J15" s="24" t="n">
        <x:v>0</x:v>
      </x:c>
      <x:c r="K15" s="25" t="n">
        <x:f>IF(G15="","",MAX(0,G15-IF(H15="",0,H15)-IF(I15="",0,I15)-IF(J15="",0,J15)))</x:f>
        <x:v>6313994966</x:v>
      </x:c>
      <x:c r="L15" s="25" t="str">
        <x:f>IF(AND(N15="Complete",O15="Complete",P15="Complete"),MAX(0,G15-H15-I15-IF(J15="",0,J15)),"")</x:f>
      </x:c>
      <x:c r="M15" s="26" t="str">
        <x:f>IF(L15="","",COUNTIF($L$5:$L$34,"&gt;"&amp;L15)+1)</x:f>
      </x:c>
      <x:c r="N15" s="28" t="str">
        <x:v>Complete</x:v>
      </x:c>
      <x:c r="O15" s="28" t="str">
        <x:v>Missing</x:v>
      </x:c>
      <x:c r="P15" s="28" t="str">
        <x:v>Partial</x:v>
      </x:c>
      <x:c r="Q15" s="28" t="str">
        <x:f>IF(AND(N15="Complete",O15="Complete",P15="Complete"),"Ready","Research")</x:f>
        <x:v>Research</x:v>
      </x:c>
      <x:c r="R15" s="23" t="str">
        <x:v>CG-LINK</x:v>
      </x:c>
      <x:c r="S15" s="23" t="str"/>
      <x:c r="T15" s="23" t="str">
        <x:v>LINK-ICO</x:v>
      </x:c>
      <x:c r="U15" s="27" t="str">
        <x:v>Eligible. Team allocation at genesis is not the same as current founder-controlled circulating LINK.</x:v>
      </x:c>
      <x:c r="V15" s="27" t="str">
        <x:v>Map current founder/Chainlink Labs wallets and reconcile token-sale proceeds plus any equity financing.</x:v>
      </x:c>
    </x:row>
    <x:row r="16">
      <x:c r="A16" s="23" t="n">
        <x:v>12</x:v>
      </x:c>
      <x:c r="B16" s="23" t="str">
        <x:v>stellar</x:v>
      </x:c>
      <x:c r="C16" s="23" t="str">
        <x:v>Stellar</x:v>
      </x:c>
      <x:c r="D16" s="23" t="str">
        <x:v>XLM</x:v>
      </x:c>
      <x:c r="E16" s="27" t="str">
        <x:v>Jed McCaleb; Joyce Kim; Stellar founding team</x:v>
      </x:c>
      <x:c r="F16" s="27" t="str">
        <x:v>Circulating token market cap</x:v>
      </x:c>
      <x:c r="G16" s="24" t="n">
        <x:v>5890690284</x:v>
      </x:c>
      <x:c r="H16" s="24"/>
      <x:c r="I16" s="24" t="n">
        <x:v>3000000</x:v>
      </x:c>
      <x:c r="J16" s="24" t="n">
        <x:v>0</x:v>
      </x:c>
      <x:c r="K16" s="25" t="n">
        <x:f>IF(G16="","",MAX(0,G16-IF(H16="",0,H16)-IF(I16="",0,I16)-IF(J16="",0,J16)))</x:f>
        <x:v>5887690284</x:v>
      </x:c>
      <x:c r="L16" s="25" t="str">
        <x:f>IF(AND(N16="Complete",O16="Complete",P16="Complete"),MAX(0,G16-H16-I16-IF(J16="",0,J16)),"")</x:f>
      </x:c>
      <x:c r="M16" s="26" t="str">
        <x:f>IF(L16="","",COUNTIF($L$5:$L$34,"&gt;"&amp;L16)+1)</x:f>
      </x:c>
      <x:c r="N16" s="28" t="str">
        <x:v>Complete</x:v>
      </x:c>
      <x:c r="O16" s="28" t="str">
        <x:v>Missing</x:v>
      </x:c>
      <x:c r="P16" s="28" t="str">
        <x:v>Partial</x:v>
      </x:c>
      <x:c r="Q16" s="28" t="str">
        <x:f>IF(AND(N16="Complete",O16="Complete",P16="Complete"),"Ready","Research")</x:f>
        <x:v>Research</x:v>
      </x:c>
      <x:c r="R16" s="23" t="str">
        <x:v>CG-XLM</x:v>
      </x:c>
      <x:c r="S16" s="23" t="str"/>
      <x:c r="T16" s="23" t="str">
        <x:v>XLM-STRIPE</x:v>
      </x:c>
      <x:c r="U16" s="27" t="str">
        <x:v>Eligible. Stellar Development Foundation holdings are not automatically personal founder holdings.</x:v>
      </x:c>
      <x:c r="V16" s="27" t="str">
        <x:v>Identify founder-controlled circulating XLM and reconcile seed/donation capital.</x:v>
      </x:c>
    </x:row>
    <x:row r="17">
      <x:c r="A17" s="23" t="n">
        <x:v>13</x:v>
      </x:c>
      <x:c r="B17" s="23" t="str">
        <x:v>canton</x:v>
      </x:c>
      <x:c r="C17" s="23" t="str">
        <x:v>Canton Network</x:v>
      </x:c>
      <x:c r="D17" s="23" t="str">
        <x:v>CC</x:v>
      </x:c>
      <x:c r="E17" s="27" t="str">
        <x:v>Digital Asset / Canton founding contributors</x:v>
      </x:c>
      <x:c r="F17" s="27" t="str">
        <x:v>Circulating token market cap</x:v>
      </x:c>
      <x:c r="G17" s="24" t="n">
        <x:v>4819272709</x:v>
      </x:c>
      <x:c r="H17" s="24"/>
      <x:c r="I17" s="24"/>
      <x:c r="J17" s="24" t="n">
        <x:v>0</x:v>
      </x:c>
      <x:c r="K17" s="25" t="n">
        <x:f>IF(G17="","",MAX(0,G17-IF(H17="",0,H17)-IF(I17="",0,I17)-IF(J17="",0,J17)))</x:f>
        <x:v>4819272709</x:v>
      </x:c>
      <x:c r="L17" s="25" t="str">
        <x:f>IF(AND(N17="Complete",O17="Complete",P17="Complete"),MAX(0,G17-H17-I17-IF(J17="",0,J17)),"")</x:f>
      </x:c>
      <x:c r="M17" s="26" t="str">
        <x:f>IF(L17="","",COUNTIF($L$5:$L$34,"&gt;"&amp;L17)+1)</x:f>
      </x:c>
      <x:c r="N17" s="28" t="str">
        <x:v>Complete</x:v>
      </x:c>
      <x:c r="O17" s="28" t="str">
        <x:v>Missing</x:v>
      </x:c>
      <x:c r="P17" s="28" t="str">
        <x:v>Missing</x:v>
      </x:c>
      <x:c r="Q17" s="28" t="str">
        <x:f>IF(AND(N17="Complete",O17="Complete",P17="Complete"),"Ready","Research")</x:f>
        <x:v>Research</x:v>
      </x:c>
      <x:c r="R17" s="23" t="str">
        <x:v>CG-CANTON</x:v>
      </x:c>
      <x:c r="S17" s="23" t="str"/>
      <x:c r="T17" s="23" t="str"/>
      <x:c r="U17" s="27" t="str">
        <x:v>Provisional eligibility. Define whether the ranked unit is the Canton token, Digital Asset equity, or a combined structure before scoring.</x:v>
      </x:c>
      <x:c r="V17" s="27" t="str">
        <x:v>Resolve founder set, token distribution, controlled wallets, and Digital Asset financing without mixing token and company value.</x:v>
      </x:c>
    </x:row>
    <x:row r="18">
      <x:c r="A18" s="23" t="n">
        <x:v>14</x:v>
      </x:c>
      <x:c r="B18" s="23" t="str">
        <x:v>litecoin</x:v>
      </x:c>
      <x:c r="C18" s="23" t="str">
        <x:v>Litecoin</x:v>
      </x:c>
      <x:c r="D18" s="23" t="str">
        <x:v>LTC</x:v>
      </x:c>
      <x:c r="E18" s="27" t="str">
        <x:v>Charlie Lee</x:v>
      </x:c>
      <x:c r="F18" s="27" t="str">
        <x:v>Circulating token market cap</x:v>
      </x:c>
      <x:c r="G18" s="24" t="n">
        <x:v>3502057761</x:v>
      </x:c>
      <x:c r="H18" s="24" t="n">
        <x:v>0</x:v>
      </x:c>
      <x:c r="I18" s="24" t="n">
        <x:v>0</x:v>
      </x:c>
      <x:c r="J18" s="24" t="n">
        <x:v>0</x:v>
      </x:c>
      <x:c r="K18" s="25" t="n">
        <x:f>IF(G18="","",MAX(0,G18-IF(H18="",0,H18)-IF(I18="",0,I18)-IF(J18="",0,J18)))</x:f>
        <x:v>3502057761</x:v>
      </x:c>
      <x:c r="L18" s="25" t="n">
        <x:f>IF(AND(N18="Complete",O18="Complete",P18="Complete"),MAX(0,G18-H18-I18-IF(J18="",0,J18)),"")</x:f>
        <x:v>3502057761</x:v>
      </x:c>
      <x:c r="M18" s="26" t="n">
        <x:f>IF(L18="","",COUNTIF($L$5:$L$34,"&gt;"&amp;L18)+1)</x:f>
        <x:v>2</x:v>
      </x:c>
      <x:c r="N18" s="28" t="str">
        <x:v>Complete</x:v>
      </x:c>
      <x:c r="O18" s="28" t="str">
        <x:v>Complete</x:v>
      </x:c>
      <x:c r="P18" s="28" t="str">
        <x:v>Complete</x:v>
      </x:c>
      <x:c r="Q18" s="28" t="str">
        <x:f>IF(AND(N18="Complete",O18="Complete",P18="Complete"),"Ready","Research")</x:f>
        <x:v>Ready</x:v>
      </x:c>
      <x:c r="R18" s="23" t="str">
        <x:v>CG-LTC</x:v>
      </x:c>
      <x:c r="S18" s="23" t="str">
        <x:v>LTC-DIVESTED</x:v>
      </x:c>
      <x:c r="T18" s="23" t="str">
        <x:v>LTC-FAIR-LAUNCH</x:v>
      </x:c>
      <x:c r="U18" s="27" t="str">
        <x:v>Eligible as a fair-launch project. Founder divestment is declaration-based.</x:v>
      </x:c>
      <x:c r="V18" s="27" t="str">
        <x:v>Reconfirm Charlie Lee's divestment and any currently attributable LTC.</x:v>
      </x:c>
    </x:row>
    <x:row r="19">
      <x:c r="A19" s="23" t="n">
        <x:v>15</x:v>
      </x:c>
      <x:c r="B19" s="23" t="str">
        <x:v>hedera</x:v>
      </x:c>
      <x:c r="C19" s="23" t="str">
        <x:v>Hedera</x:v>
      </x:c>
      <x:c r="D19" s="23" t="str">
        <x:v>HBAR</x:v>
      </x:c>
      <x:c r="E19" s="27" t="str">
        <x:v>Leemon Baird; Mance Harmon</x:v>
      </x:c>
      <x:c r="F19" s="27" t="str">
        <x:v>Circulating token market cap</x:v>
      </x:c>
      <x:c r="G19" s="24" t="n">
        <x:v>2985291799</x:v>
      </x:c>
      <x:c r="H19" s="24"/>
      <x:c r="I19" s="24" t="n">
        <x:v>124000000</x:v>
      </x:c>
      <x:c r="J19" s="24" t="n">
        <x:v>0</x:v>
      </x:c>
      <x:c r="K19" s="25" t="n">
        <x:f>IF(G19="","",MAX(0,G19-IF(H19="",0,H19)-IF(I19="",0,I19)-IF(J19="",0,J19)))</x:f>
        <x:v>2861291799</x:v>
      </x:c>
      <x:c r="L19" s="25" t="str">
        <x:f>IF(AND(N19="Complete",O19="Complete",P19="Complete"),MAX(0,G19-H19-I19-IF(J19="",0,J19)),"")</x:f>
      </x:c>
      <x:c r="M19" s="26" t="str">
        <x:f>IF(L19="","",COUNTIF($L$5:$L$34,"&gt;"&amp;L19)+1)</x:f>
      </x:c>
      <x:c r="N19" s="28" t="str">
        <x:v>Complete</x:v>
      </x:c>
      <x:c r="O19" s="28" t="str">
        <x:v>Missing</x:v>
      </x:c>
      <x:c r="P19" s="28" t="str">
        <x:v>Partial</x:v>
      </x:c>
      <x:c r="Q19" s="28" t="str">
        <x:f>IF(AND(N19="Complete",O19="Complete",P19="Complete"),"Ready","Research")</x:f>
        <x:v>Research</x:v>
      </x:c>
      <x:c r="R19" s="23" t="str">
        <x:v>CG-HBAR</x:v>
      </x:c>
      <x:c r="S19" s="23" t="str"/>
      <x:c r="T19" s="23" t="str">
        <x:v>HBAR-SALES</x:v>
      </x:c>
      <x:c r="U19" s="27" t="str">
        <x:v>Eligible. Council/treasury holdings and founder personal holdings require separate treatment.</x:v>
      </x:c>
      <x:c r="V19" s="27" t="str">
        <x:v>Attribute founder/company circulating HBAR and reconcile SAFT/token-sale financing.</x:v>
      </x:c>
    </x:row>
    <x:row r="20">
      <x:c r="A20" s="23" t="n">
        <x:v>16</x:v>
      </x:c>
      <x:c r="B20" s="23" t="str">
        <x:v>sui</x:v>
      </x:c>
      <x:c r="C20" s="23" t="str">
        <x:v>Sui / Mysten Labs</x:v>
      </x:c>
      <x:c r="D20" s="23" t="str">
        <x:v>SUI</x:v>
      </x:c>
      <x:c r="E20" s="27" t="str">
        <x:v>Evan Cheng; Sam Blackshear; Adeniyi Abiodun; George Danezis; Kostas Chalkias</x:v>
      </x:c>
      <x:c r="F20" s="27" t="str">
        <x:v>Circulating token market cap</x:v>
      </x:c>
      <x:c r="G20" s="24" t="n">
        <x:v>2821745291</x:v>
      </x:c>
      <x:c r="H20" s="24"/>
      <x:c r="I20" s="24" t="n">
        <x:v>300000000</x:v>
      </x:c>
      <x:c r="J20" s="24" t="n">
        <x:v>0</x:v>
      </x:c>
      <x:c r="K20" s="25" t="n">
        <x:f>IF(G20="","",MAX(0,G20-IF(H20="",0,H20)-IF(I20="",0,I20)-IF(J20="",0,J20)))</x:f>
        <x:v>2521745291</x:v>
      </x:c>
      <x:c r="L20" s="25" t="str">
        <x:f>IF(AND(N20="Complete",O20="Complete",P20="Complete"),MAX(0,G20-H20-I20-IF(J20="",0,J20)),"")</x:f>
      </x:c>
      <x:c r="M20" s="26" t="str">
        <x:f>IF(L20="","",COUNTIF($L$5:$L$34,"&gt;"&amp;L20)+1)</x:f>
      </x:c>
      <x:c r="N20" s="28" t="str">
        <x:v>Complete</x:v>
      </x:c>
      <x:c r="O20" s="28" t="str">
        <x:v>Missing</x:v>
      </x:c>
      <x:c r="P20" s="28" t="str">
        <x:v>Partial</x:v>
      </x:c>
      <x:c r="Q20" s="28" t="str">
        <x:f>IF(AND(N20="Complete",O20="Complete",P20="Complete"),"Ready","Research")</x:f>
        <x:v>Research</x:v>
      </x:c>
      <x:c r="R20" s="23" t="str">
        <x:v>CG-SUI</x:v>
      </x:c>
      <x:c r="S20" s="23" t="str"/>
      <x:c r="T20" s="23" t="str">
        <x:v>SUI-SERIES-B</x:v>
      </x:c>
      <x:c r="U20" s="27" t="str">
        <x:v>Eligible. Locked contributor allocation should not be subtracted from circulating market cap.</x:v>
      </x:c>
      <x:c r="V20" s="27" t="str">
        <x:v>Add Series A and other primary capital; identify founder/team circulating SUI wallets.</x:v>
      </x:c>
    </x:row>
    <x:row r="21">
      <x:c r="A21" s="23" t="n">
        <x:v>17</x:v>
      </x:c>
      <x:c r="B21" s="23" t="str">
        <x:v>avalanche</x:v>
      </x:c>
      <x:c r="C21" s="23" t="str">
        <x:v>Avalanche / Ava Labs</x:v>
      </x:c>
      <x:c r="D21" s="23" t="str">
        <x:v>AVAX</x:v>
      </x:c>
      <x:c r="E21" s="27" t="str">
        <x:v>Emin Gün Sirer; Kevin Sekniqi; Maofan 'Ted' Yin</x:v>
      </x:c>
      <x:c r="F21" s="27" t="str">
        <x:v>Circulating token market cap</x:v>
      </x:c>
      <x:c r="G21" s="24" t="n">
        <x:v>2799772525</x:v>
      </x:c>
      <x:c r="H21" s="24"/>
      <x:c r="I21" s="24" t="n">
        <x:v>230000000</x:v>
      </x:c>
      <x:c r="J21" s="24" t="n">
        <x:v>0</x:v>
      </x:c>
      <x:c r="K21" s="25" t="n">
        <x:f>IF(G21="","",MAX(0,G21-IF(H21="",0,H21)-IF(I21="",0,I21)-IF(J21="",0,J21)))</x:f>
        <x:v>2569772525</x:v>
      </x:c>
      <x:c r="L21" s="25" t="str">
        <x:f>IF(AND(N21="Complete",O21="Complete",P21="Complete"),MAX(0,G21-H21-I21-IF(J21="",0,J21)),"")</x:f>
      </x:c>
      <x:c r="M21" s="26" t="str">
        <x:f>IF(L21="","",COUNTIF($L$5:$L$34,"&gt;"&amp;L21)+1)</x:f>
      </x:c>
      <x:c r="N21" s="28" t="str">
        <x:v>Complete</x:v>
      </x:c>
      <x:c r="O21" s="28" t="str">
        <x:v>Missing</x:v>
      </x:c>
      <x:c r="P21" s="28" t="str">
        <x:v>Partial</x:v>
      </x:c>
      <x:c r="Q21" s="28" t="str">
        <x:f>IF(AND(N21="Complete",O21="Complete",P21="Complete"),"Ready","Research")</x:f>
        <x:v>Research</x:v>
      </x:c>
      <x:c r="R21" s="23" t="str">
        <x:v>CG-AVAX</x:v>
      </x:c>
      <x:c r="S21" s="23" t="str"/>
      <x:c r="T21" s="23" t="str">
        <x:v>AVAX-2021-SALE</x:v>
      </x:c>
      <x:c r="U21" s="27" t="str">
        <x:v>Eligible. Team tokens outside circulating supply must not be deducted twice.</x:v>
      </x:c>
      <x:c r="V21" s="27" t="str">
        <x:v>Reconcile seed/private/public sales and current founder/team circulating AVAX.</x:v>
      </x:c>
    </x:row>
    <x:row r="22">
      <x:c r="A22" s="23" t="n">
        <x:v>18</x:v>
      </x:c>
      <x:c r="B22" s="23" t="str">
        <x:v>uniswap</x:v>
      </x:c>
      <x:c r="C22" s="23" t="str">
        <x:v>Uniswap / Uniswap Labs</x:v>
      </x:c>
      <x:c r="D22" s="23" t="str">
        <x:v>UNI</x:v>
      </x:c>
      <x:c r="E22" s="27" t="str">
        <x:v>Hayden Adams; Uniswap Labs founding team</x:v>
      </x:c>
      <x:c r="F22" s="27" t="str">
        <x:v>Circulating token market cap</x:v>
      </x:c>
      <x:c r="G22" s="24" t="n">
        <x:v>2682944726</x:v>
      </x:c>
      <x:c r="H22" s="24"/>
      <x:c r="I22" s="24" t="n">
        <x:v>165000000</x:v>
      </x:c>
      <x:c r="J22" s="24" t="n">
        <x:v>0</x:v>
      </x:c>
      <x:c r="K22" s="25" t="n">
        <x:f>IF(G22="","",MAX(0,G22-IF(H22="",0,H22)-IF(I22="",0,I22)-IF(J22="",0,J22)))</x:f>
        <x:v>2517944726</x:v>
      </x:c>
      <x:c r="L22" s="25" t="str">
        <x:f>IF(AND(N22="Complete",O22="Complete",P22="Complete"),MAX(0,G22-H22-I22-IF(J22="",0,J22)),"")</x:f>
      </x:c>
      <x:c r="M22" s="26" t="str">
        <x:f>IF(L22="","",COUNTIF($L$5:$L$34,"&gt;"&amp;L22)+1)</x:f>
      </x:c>
      <x:c r="N22" s="28" t="str">
        <x:v>Complete</x:v>
      </x:c>
      <x:c r="O22" s="28" t="str">
        <x:v>Partial</x:v>
      </x:c>
      <x:c r="P22" s="28" t="str">
        <x:v>Partial</x:v>
      </x:c>
      <x:c r="Q22" s="28" t="str">
        <x:f>IF(AND(N22="Complete",O22="Complete",P22="Complete"),"Ready","Research")</x:f>
        <x:v>Research</x:v>
      </x:c>
      <x:c r="R22" s="23" t="str">
        <x:v>CG-UNI</x:v>
      </x:c>
      <x:c r="S22" s="23" t="str">
        <x:v>UNI-HAYDEN</x:v>
      </x:c>
      <x:c r="T22" s="23" t="str">
        <x:v>UNI-SERIES-B</x:v>
      </x:c>
      <x:c r="U22" s="27" t="str">
        <x:v>Eligible. Protocol treasury and unvested team allocation are not personal founder wealth.</x:v>
      </x:c>
      <x:c r="V22" s="27" t="str">
        <x:v>Value UNI held by verified founder/team wallets; add seed and Series A capital.</x:v>
      </x:c>
    </x:row>
    <x:row r="23">
      <x:c r="A23" s="23" t="n">
        <x:v>19</x:v>
      </x:c>
      <x:c r="B23" s="23" t="str">
        <x:v>near</x:v>
      </x:c>
      <x:c r="C23" s="23" t="str">
        <x:v>NEAR Protocol</x:v>
      </x:c>
      <x:c r="D23" s="23" t="str">
        <x:v>NEAR</x:v>
      </x:c>
      <x:c r="E23" s="27" t="str">
        <x:v>Illia Polosukhin; Alexander Skidanov</x:v>
      </x:c>
      <x:c r="F23" s="27" t="str">
        <x:v>Circulating token market cap</x:v>
      </x:c>
      <x:c r="G23" s="24" t="n">
        <x:v>2145544810</x:v>
      </x:c>
      <x:c r="H23" s="24"/>
      <x:c r="I23" s="24" t="n">
        <x:v>150000000</x:v>
      </x:c>
      <x:c r="J23" s="24" t="n">
        <x:v>0</x:v>
      </x:c>
      <x:c r="K23" s="25" t="n">
        <x:f>IF(G23="","",MAX(0,G23-IF(H23="",0,H23)-IF(I23="",0,I23)-IF(J23="",0,J23)))</x:f>
        <x:v>1995544810</x:v>
      </x:c>
      <x:c r="L23" s="25" t="str">
        <x:f>IF(AND(N23="Complete",O23="Complete",P23="Complete"),MAX(0,G23-H23-I23-IF(J23="",0,J23)),"")</x:f>
      </x:c>
      <x:c r="M23" s="26" t="str">
        <x:f>IF(L23="","",COUNTIF($L$5:$L$34,"&gt;"&amp;L23)+1)</x:f>
      </x:c>
      <x:c r="N23" s="28" t="str">
        <x:v>Complete</x:v>
      </x:c>
      <x:c r="O23" s="28" t="str">
        <x:v>Missing</x:v>
      </x:c>
      <x:c r="P23" s="28" t="str">
        <x:v>Partial</x:v>
      </x:c>
      <x:c r="Q23" s="28" t="str">
        <x:f>IF(AND(N23="Complete",O23="Complete",P23="Complete"),"Ready","Research")</x:f>
        <x:v>Research</x:v>
      </x:c>
      <x:c r="R23" s="23" t="str">
        <x:v>CG-NEAR</x:v>
      </x:c>
      <x:c r="S23" s="23" t="str"/>
      <x:c r="T23" s="23" t="str">
        <x:v>NEAR-2022-ROUND</x:v>
      </x:c>
      <x:c r="U23" s="27" t="str">
        <x:v>Eligible. Foundation treasury and locked contributor allocation require separate treatment.</x:v>
      </x:c>
      <x:c r="V23" s="27" t="str">
        <x:v>Identify founder/team circulating NEAR; reconcile all rounds and token sales.</x:v>
      </x:c>
    </x:row>
    <x:row r="24">
      <x:c r="A24" s="23" t="n">
        <x:v>20</x:v>
      </x:c>
      <x:c r="B24" s="23" t="str">
        <x:v>ondo</x:v>
      </x:c>
      <x:c r="C24" s="23" t="str">
        <x:v>Ondo Finance</x:v>
      </x:c>
      <x:c r="D24" s="23" t="str">
        <x:v>ONDO</x:v>
      </x:c>
      <x:c r="E24" s="27" t="str">
        <x:v>Nathan Allman; Pinku Surana</x:v>
      </x:c>
      <x:c r="F24" s="27" t="str">
        <x:v>Circulating token market cap</x:v>
      </x:c>
      <x:c r="G24" s="24" t="n">
        <x:v>2031352304</x:v>
      </x:c>
      <x:c r="H24" s="24"/>
      <x:c r="I24" s="24" t="n">
        <x:v>20000000</x:v>
      </x:c>
      <x:c r="J24" s="24" t="n">
        <x:v>0</x:v>
      </x:c>
      <x:c r="K24" s="25" t="n">
        <x:f>IF(G24="","",MAX(0,G24-IF(H24="",0,H24)-IF(I24="",0,I24)-IF(J24="",0,J24)))</x:f>
        <x:v>2011352304</x:v>
      </x:c>
      <x:c r="L24" s="25" t="str">
        <x:f>IF(AND(N24="Complete",O24="Complete",P24="Complete"),MAX(0,G24-H24-I24-IF(J24="",0,J24)),"")</x:f>
      </x:c>
      <x:c r="M24" s="26" t="str">
        <x:f>IF(L24="","",COUNTIF($L$5:$L$34,"&gt;"&amp;L24)+1)</x:f>
      </x:c>
      <x:c r="N24" s="28" t="str">
        <x:v>Complete</x:v>
      </x:c>
      <x:c r="O24" s="28" t="str">
        <x:v>Missing</x:v>
      </x:c>
      <x:c r="P24" s="28" t="str">
        <x:v>Partial</x:v>
      </x:c>
      <x:c r="Q24" s="28" t="str">
        <x:f>IF(AND(N24="Complete",O24="Complete",P24="Complete"),"Ready","Research")</x:f>
        <x:v>Research</x:v>
      </x:c>
      <x:c r="R24" s="23" t="str">
        <x:v>CG-ONDO</x:v>
      </x:c>
      <x:c r="S24" s="23" t="str"/>
      <x:c r="T24" s="23" t="str">
        <x:v>ONDO-SERIES-A</x:v>
      </x:c>
      <x:c r="U24" s="27" t="str">
        <x:v>Eligible. Locked team allocation cannot be double-deducted.</x:v>
      </x:c>
      <x:c r="V24" s="27" t="str">
        <x:v>Add seed/token-sale proceeds and identify founder/team circulating ONDO.</x:v>
      </x:c>
    </x:row>
    <x:row r="25">
      <x:c r="A25" s="23" t="n">
        <x:v>21</x:v>
      </x:c>
      <x:c r="B25" s="23" t="str">
        <x:v>bittensor</x:v>
      </x:c>
      <x:c r="C25" s="23" t="str">
        <x:v>Bittensor</x:v>
      </x:c>
      <x:c r="D25" s="23" t="str">
        <x:v>TAO</x:v>
      </x:c>
      <x:c r="E25" s="27" t="str">
        <x:v>Ala Shaabana; Jacob Steeves; Opentensor founding team</x:v>
      </x:c>
      <x:c r="F25" s="27" t="str">
        <x:v>Circulating token market cap</x:v>
      </x:c>
      <x:c r="G25" s="24" t="n">
        <x:v>1858029620</x:v>
      </x:c>
      <x:c r="H25" s="24"/>
      <x:c r="I25" s="24"/>
      <x:c r="J25" s="24" t="n">
        <x:v>0</x:v>
      </x:c>
      <x:c r="K25" s="25" t="n">
        <x:f>IF(G25="","",MAX(0,G25-IF(H25="",0,H25)-IF(I25="",0,I25)-IF(J25="",0,J25)))</x:f>
        <x:v>1858029620</x:v>
      </x:c>
      <x:c r="L25" s="25" t="str">
        <x:f>IF(AND(N25="Complete",O25="Complete",P25="Complete"),MAX(0,G25-H25-I25-IF(J25="",0,J25)),"")</x:f>
      </x:c>
      <x:c r="M25" s="26" t="str">
        <x:f>IF(L25="","",COUNTIF($L$5:$L$34,"&gt;"&amp;L25)+1)</x:f>
      </x:c>
      <x:c r="N25" s="28" t="str">
        <x:v>Complete</x:v>
      </x:c>
      <x:c r="O25" s="28" t="str">
        <x:v>Missing</x:v>
      </x:c>
      <x:c r="P25" s="28" t="str">
        <x:v>Missing</x:v>
      </x:c>
      <x:c r="Q25" s="28" t="str">
        <x:f>IF(AND(N25="Complete",O25="Complete",P25="Complete"),"Ready","Research")</x:f>
        <x:v>Research</x:v>
      </x:c>
      <x:c r="R25" s="23" t="str">
        <x:v>CG-TAO</x:v>
      </x:c>
      <x:c r="S25" s="23" t="str"/>
      <x:c r="T25" s="23" t="str"/>
      <x:c r="U25" s="27" t="str">
        <x:v>Eligible if confirmed fair-launch/no-premine history is paired with current founder mining/staking holdings.</x:v>
      </x:c>
      <x:c r="V25" s="27" t="str">
        <x:v>Verify capital history and attribute founder/team TAO addresses.</x:v>
      </x:c>
    </x:row>
    <x:row r="26">
      <x:c r="A26" s="23" t="n">
        <x:v>22</x:v>
      </x:c>
      <x:c r="B26" s="23" t="str">
        <x:v>aave</x:v>
      </x:c>
      <x:c r="C26" s="23" t="str">
        <x:v>Aave</x:v>
      </x:c>
      <x:c r="D26" s="23" t="str">
        <x:v>AAVE</x:v>
      </x:c>
      <x:c r="E26" s="27" t="str">
        <x:v>Stani Kulechov; Aave founding team</x:v>
      </x:c>
      <x:c r="F26" s="27" t="str">
        <x:v>Circulating token market cap</x:v>
      </x:c>
      <x:c r="G26" s="24" t="n">
        <x:v>1517946643</x:v>
      </x:c>
      <x:c r="H26" s="24"/>
      <x:c r="I26" s="24"/>
      <x:c r="J26" s="24" t="n">
        <x:v>0</x:v>
      </x:c>
      <x:c r="K26" s="25" t="n">
        <x:f>IF(G26="","",MAX(0,G26-IF(H26="",0,H26)-IF(I26="",0,I26)-IF(J26="",0,J26)))</x:f>
        <x:v>1517946643</x:v>
      </x:c>
      <x:c r="L26" s="25" t="str">
        <x:f>IF(AND(N26="Complete",O26="Complete",P26="Complete"),MAX(0,G26-H26-I26-IF(J26="",0,J26)),"")</x:f>
      </x:c>
      <x:c r="M26" s="26" t="str">
        <x:f>IF(L26="","",COUNTIF($L$5:$L$34,"&gt;"&amp;L26)+1)</x:f>
      </x:c>
      <x:c r="N26" s="28" t="str">
        <x:v>Complete</x:v>
      </x:c>
      <x:c r="O26" s="28" t="str">
        <x:v>Partial</x:v>
      </x:c>
      <x:c r="P26" s="28" t="str">
        <x:v>Missing</x:v>
      </x:c>
      <x:c r="Q26" s="28" t="str">
        <x:f>IF(AND(N26="Complete",O26="Complete",P26="Complete"),"Ready","Research")</x:f>
        <x:v>Research</x:v>
      </x:c>
      <x:c r="R26" s="23" t="str">
        <x:v>CG-AAVE</x:v>
      </x:c>
      <x:c r="S26" s="23" t="str">
        <x:v>AAVE-STANI</x:v>
      </x:c>
      <x:c r="T26" s="23" t="str"/>
      <x:c r="U26" s="27" t="str">
        <x:v>Eligible. Aave DAO treasury is not founder personal wealth.</x:v>
      </x:c>
      <x:c r="V26" s="27" t="str">
        <x:v>Value verified founder wallets in AAVE and reconcile LEND sale/equity financing.</x:v>
      </x:c>
    </x:row>
    <x:row r="27">
      <x:c r="A27" s="23" t="n">
        <x:v>23</x:v>
      </x:c>
      <x:c r="B27" s="23" t="str">
        <x:v>sky</x:v>
      </x:c>
      <x:c r="C27" s="23" t="str">
        <x:v>Sky / Maker</x:v>
      </x:c>
      <x:c r="D27" s="23" t="str">
        <x:v>SKY</x:v>
      </x:c>
      <x:c r="E27" s="27" t="str">
        <x:v>Rune Christensen; Maker founding team</x:v>
      </x:c>
      <x:c r="F27" s="27" t="str">
        <x:v>Circulating token market cap</x:v>
      </x:c>
      <x:c r="G27" s="24" t="n">
        <x:v>1336638624</x:v>
      </x:c>
      <x:c r="H27" s="24"/>
      <x:c r="I27" s="24"/>
      <x:c r="J27" s="24" t="n">
        <x:v>0</x:v>
      </x:c>
      <x:c r="K27" s="25" t="n">
        <x:f>IF(G27="","",MAX(0,G27-IF(H27="",0,H27)-IF(I27="",0,I27)-IF(J27="",0,J27)))</x:f>
        <x:v>1336638624</x:v>
      </x:c>
      <x:c r="L27" s="25" t="str">
        <x:f>IF(AND(N27="Complete",O27="Complete",P27="Complete"),MAX(0,G27-H27-I27-IF(J27="",0,J27)),"")</x:f>
      </x:c>
      <x:c r="M27" s="26" t="str">
        <x:f>IF(L27="","",COUNTIF($L$5:$L$34,"&gt;"&amp;L27)+1)</x:f>
      </x:c>
      <x:c r="N27" s="28" t="str">
        <x:v>Complete</x:v>
      </x:c>
      <x:c r="O27" s="28" t="str">
        <x:v>Missing</x:v>
      </x:c>
      <x:c r="P27" s="28" t="str">
        <x:v>Missing</x:v>
      </x:c>
      <x:c r="Q27" s="28" t="str">
        <x:f>IF(AND(N27="Complete",O27="Complete",P27="Complete"),"Ready","Research")</x:f>
        <x:v>Research</x:v>
      </x:c>
      <x:c r="R27" s="23" t="str">
        <x:v>CG-SKY</x:v>
      </x:c>
      <x:c r="S27" s="23" t="str"/>
      <x:c r="T27" s="23" t="str"/>
      <x:c r="U27" s="27" t="str">
        <x:v>Eligible after defining MKR-to-SKY migration treatment and avoiding DAO-treasury attribution.</x:v>
      </x:c>
      <x:c r="V27" s="27" t="str">
        <x:v>Normalize migrated supply/value; attribute founder holdings and outside capital.</x:v>
      </x:c>
    </x:row>
    <x:row r="28">
      <x:c r="A28" s="23" t="n">
        <x:v>24</x:v>
      </x:c>
      <x:c r="B28" s="23" t="str">
        <x:v>morpho</x:v>
      </x:c>
      <x:c r="C28" s="23" t="str">
        <x:v>Morpho</x:v>
      </x:c>
      <x:c r="D28" s="23" t="str">
        <x:v>MORPHO</x:v>
      </x:c>
      <x:c r="E28" s="27" t="str">
        <x:v>Paul Frambot; Merlin Egalite; Mathis Gontier Delaunay; Julien Thomas</x:v>
      </x:c>
      <x:c r="F28" s="27" t="str">
        <x:v>Circulating token market cap</x:v>
      </x:c>
      <x:c r="G28" s="24" t="n">
        <x:v>1308566898</x:v>
      </x:c>
      <x:c r="H28" s="24"/>
      <x:c r="I28" s="24"/>
      <x:c r="J28" s="24" t="n">
        <x:v>0</x:v>
      </x:c>
      <x:c r="K28" s="25" t="n">
        <x:f>IF(G28="","",MAX(0,G28-IF(H28="",0,H28)-IF(I28="",0,I28)-IF(J28="",0,J28)))</x:f>
        <x:v>1308566898</x:v>
      </x:c>
      <x:c r="L28" s="25" t="str">
        <x:f>IF(AND(N28="Complete",O28="Complete",P28="Complete"),MAX(0,G28-H28-I28-IF(J28="",0,J28)),"")</x:f>
      </x:c>
      <x:c r="M28" s="26" t="str">
        <x:f>IF(L28="","",COUNTIF($L$5:$L$34,"&gt;"&amp;L28)+1)</x:f>
      </x:c>
      <x:c r="N28" s="28" t="str">
        <x:v>Complete</x:v>
      </x:c>
      <x:c r="O28" s="28" t="str">
        <x:v>Missing</x:v>
      </x:c>
      <x:c r="P28" s="28" t="str">
        <x:v>Missing</x:v>
      </x:c>
      <x:c r="Q28" s="28" t="str">
        <x:f>IF(AND(N28="Complete",O28="Complete",P28="Complete"),"Ready","Research")</x:f>
        <x:v>Research</x:v>
      </x:c>
      <x:c r="R28" s="23" t="str">
        <x:v>CG-MORPHO</x:v>
      </x:c>
      <x:c r="S28" s="23" t="str"/>
      <x:c r="T28" s="23" t="str"/>
      <x:c r="U28" s="27" t="str">
        <x:v>Eligible. DAO and ecosystem allocations are not founder personal wealth.</x:v>
      </x:c>
      <x:c r="V28" s="27" t="str">
        <x:v>Reconcile equity rounds and current founder/team circulating MORPHO.</x:v>
      </x:c>
    </x:row>
    <x:row r="29">
      <x:c r="A29" s="23" t="n">
        <x:v>25</x:v>
      </x:c>
      <x:c r="B29" s="23" t="str">
        <x:v>polkadot</x:v>
      </x:c>
      <x:c r="C29" s="23" t="str">
        <x:v>Polkadot</x:v>
      </x:c>
      <x:c r="D29" s="23" t="str">
        <x:v>DOT</x:v>
      </x:c>
      <x:c r="E29" s="27" t="str">
        <x:v>Gavin Wood; Robert Habermeier; Peter Czaban</x:v>
      </x:c>
      <x:c r="F29" s="27" t="str">
        <x:v>Circulating token market cap</x:v>
      </x:c>
      <x:c r="G29" s="24" t="n">
        <x:v>1305556989</x:v>
      </x:c>
      <x:c r="H29" s="24"/>
      <x:c r="I29" s="24" t="n">
        <x:v>144000000</x:v>
      </x:c>
      <x:c r="J29" s="24" t="n">
        <x:v>0</x:v>
      </x:c>
      <x:c r="K29" s="25" t="n">
        <x:f>IF(G29="","",MAX(0,G29-IF(H29="",0,H29)-IF(I29="",0,I29)-IF(J29="",0,J29)))</x:f>
        <x:v>1161556989</x:v>
      </x:c>
      <x:c r="L29" s="25" t="str">
        <x:f>IF(AND(N29="Complete",O29="Complete",P29="Complete"),MAX(0,G29-H29-I29-IF(J29="",0,J29)),"")</x:f>
      </x:c>
      <x:c r="M29" s="26" t="str">
        <x:f>IF(L29="","",COUNTIF($L$5:$L$34,"&gt;"&amp;L29)+1)</x:f>
      </x:c>
      <x:c r="N29" s="28" t="str">
        <x:v>Complete</x:v>
      </x:c>
      <x:c r="O29" s="28" t="str">
        <x:v>Missing</x:v>
      </x:c>
      <x:c r="P29" s="28" t="str">
        <x:v>Partial</x:v>
      </x:c>
      <x:c r="Q29" s="28" t="str">
        <x:f>IF(AND(N29="Complete",O29="Complete",P29="Complete"),"Ready","Research")</x:f>
        <x:v>Research</x:v>
      </x:c>
      <x:c r="R29" s="23" t="str">
        <x:v>CG-DOT</x:v>
      </x:c>
      <x:c r="S29" s="23" t="str"/>
      <x:c r="T29" s="23" t="str">
        <x:v>DOT-ICO</x:v>
      </x:c>
      <x:c r="U29" s="27" t="str">
        <x:v>Eligible. Web3 Foundation treasury is not automatically founder personal wealth.</x:v>
      </x:c>
      <x:c r="V29" s="27" t="str">
        <x:v>Attribute founder/team circulating DOT and reconcile later token sales.</x:v>
      </x:c>
    </x:row>
    <x:row r="30">
      <x:c r="A30" s="23" t="n">
        <x:v>26</x:v>
      </x:c>
      <x:c r="B30" s="23" t="str">
        <x:v>internet-computer</x:v>
      </x:c>
      <x:c r="C30" s="23" t="str">
        <x:v>Internet Computer / DFINITY</x:v>
      </x:c>
      <x:c r="D30" s="23" t="str">
        <x:v>ICP</x:v>
      </x:c>
      <x:c r="E30" s="27" t="str">
        <x:v>Dominic Williams; DFINITY founding team</x:v>
      </x:c>
      <x:c r="F30" s="27" t="str">
        <x:v>Circulating token market cap</x:v>
      </x:c>
      <x:c r="G30" s="24" t="n">
        <x:v>1149276970</x:v>
      </x:c>
      <x:c r="H30" s="24"/>
      <x:c r="I30" s="24" t="n">
        <x:v>195000000</x:v>
      </x:c>
      <x:c r="J30" s="24" t="n">
        <x:v>0</x:v>
      </x:c>
      <x:c r="K30" s="25" t="n">
        <x:f>IF(G30="","",MAX(0,G30-IF(H30="",0,H30)-IF(I30="",0,I30)-IF(J30="",0,J30)))</x:f>
        <x:v>954276970</x:v>
      </x:c>
      <x:c r="L30" s="25" t="str">
        <x:f>IF(AND(N30="Complete",O30="Complete",P30="Complete"),MAX(0,G30-H30-I30-IF(J30="",0,J30)),"")</x:f>
      </x:c>
      <x:c r="M30" s="26" t="str">
        <x:f>IF(L30="","",COUNTIF($L$5:$L$34,"&gt;"&amp;L30)+1)</x:f>
      </x:c>
      <x:c r="N30" s="28" t="str">
        <x:v>Complete</x:v>
      </x:c>
      <x:c r="O30" s="28" t="str">
        <x:v>Missing</x:v>
      </x:c>
      <x:c r="P30" s="28" t="str">
        <x:v>Partial</x:v>
      </x:c>
      <x:c r="Q30" s="28" t="str">
        <x:f>IF(AND(N30="Complete",O30="Complete",P30="Complete"),"Ready","Research")</x:f>
        <x:v>Research</x:v>
      </x:c>
      <x:c r="R30" s="23" t="str">
        <x:v>CG-ICP</x:v>
      </x:c>
      <x:c r="S30" s="23" t="str"/>
      <x:c r="T30" s="23" t="str">
        <x:v>ICP-FUNDING</x:v>
      </x:c>
      <x:c r="U30" s="27" t="str">
        <x:v>Eligible. Foundation-controlled and locked neurons require explicit treatment.</x:v>
      </x:c>
      <x:c r="V30" s="27" t="str">
        <x:v>Map founder/company neurons and reconcile all primary financing.</x:v>
      </x:c>
    </x:row>
    <x:row r="31">
      <x:c r="A31" s="23" t="n">
        <x:v>27</x:v>
      </x:c>
      <x:c r="B31" s="23" t="str">
        <x:v>arbitrum</x:v>
      </x:c>
      <x:c r="C31" s="23" t="str">
        <x:v>Arbitrum / Offchain Labs</x:v>
      </x:c>
      <x:c r="D31" s="23" t="str">
        <x:v>ARB</x:v>
      </x:c>
      <x:c r="E31" s="27" t="str">
        <x:v>Ed Felten; Steven Goldfeder; Harry Kalodner</x:v>
      </x:c>
      <x:c r="F31" s="27" t="str">
        <x:v>Circulating token market cap</x:v>
      </x:c>
      <x:c r="G31" s="24"/>
      <x:c r="H31" s="24"/>
      <x:c r="I31" s="24"/>
      <x:c r="J31" s="24" t="n">
        <x:v>0</x:v>
      </x:c>
      <x:c r="K31" s="25" t="str">
        <x:f>IF(G31="","",MAX(0,G31-IF(H31="",0,H31)-IF(I31="",0,I31)-IF(J31="",0,J31)))</x:f>
      </x:c>
      <x:c r="L31" s="25" t="str">
        <x:f>IF(AND(N31="Complete",O31="Complete",P31="Complete"),MAX(0,G31-H31-I31-IF(J31="",0,J31)),"")</x:f>
      </x:c>
      <x:c r="M31" s="26" t="str">
        <x:f>IF(L31="","",COUNTIF($L$5:$L$34,"&gt;"&amp;L31)+1)</x:f>
      </x:c>
      <x:c r="N31" s="28" t="str">
        <x:v>Refresh</x:v>
      </x:c>
      <x:c r="O31" s="28" t="str">
        <x:v>Missing</x:v>
      </x:c>
      <x:c r="P31" s="28" t="str">
        <x:v>Missing</x:v>
      </x:c>
      <x:c r="Q31" s="28" t="str">
        <x:f>IF(AND(N31="Complete",O31="Complete",P31="Complete"),"Ready","Research")</x:f>
        <x:v>Research</x:v>
      </x:c>
      <x:c r="R31" s="23" t="str"/>
      <x:c r="S31" s="23" t="str"/>
      <x:c r="T31" s="23" t="str"/>
      <x:c r="U31" s="27" t="str">
        <x:v>Watchlist candidate.</x:v>
      </x:c>
      <x:c r="V31" s="27" t="str">
        <x:v>Refresh market cap, identify current founder/team circulating ARB, and reconcile Offchain Labs financing.</x:v>
      </x:c>
    </x:row>
    <x:row r="32">
      <x:c r="A32" s="23" t="n">
        <x:v>28</x:v>
      </x:c>
      <x:c r="B32" s="23" t="str">
        <x:v>optimism</x:v>
      </x:c>
      <x:c r="C32" s="23" t="str">
        <x:v>Optimism</x:v>
      </x:c>
      <x:c r="D32" s="23" t="str">
        <x:v>OP</x:v>
      </x:c>
      <x:c r="E32" s="27" t="str">
        <x:v>Jinglan Wang; Karl Floersch; Kevin Ho; Plasma Group / Optimism founding team</x:v>
      </x:c>
      <x:c r="F32" s="27" t="str">
        <x:v>Circulating token market cap</x:v>
      </x:c>
      <x:c r="G32" s="24"/>
      <x:c r="H32" s="24"/>
      <x:c r="I32" s="24"/>
      <x:c r="J32" s="24" t="n">
        <x:v>0</x:v>
      </x:c>
      <x:c r="K32" s="25" t="str">
        <x:f>IF(G32="","",MAX(0,G32-IF(H32="",0,H32)-IF(I32="",0,I32)-IF(J32="",0,J32)))</x:f>
      </x:c>
      <x:c r="L32" s="25" t="str">
        <x:f>IF(AND(N32="Complete",O32="Complete",P32="Complete"),MAX(0,G32-H32-I32-IF(J32="",0,J32)),"")</x:f>
      </x:c>
      <x:c r="M32" s="26" t="str">
        <x:f>IF(L32="","",COUNTIF($L$5:$L$34,"&gt;"&amp;L32)+1)</x:f>
      </x:c>
      <x:c r="N32" s="28" t="str">
        <x:v>Refresh</x:v>
      </x:c>
      <x:c r="O32" s="28" t="str">
        <x:v>Missing</x:v>
      </x:c>
      <x:c r="P32" s="28" t="str">
        <x:v>Missing</x:v>
      </x:c>
      <x:c r="Q32" s="28" t="str">
        <x:f>IF(AND(N32="Complete",O32="Complete",P32="Complete"),"Ready","Research")</x:f>
        <x:v>Research</x:v>
      </x:c>
      <x:c r="R32" s="23" t="str"/>
      <x:c r="S32" s="23" t="str"/>
      <x:c r="T32" s="23" t="str"/>
      <x:c r="U32" s="27" t="str">
        <x:v>Watchlist candidate.</x:v>
      </x:c>
      <x:c r="V32" s="27" t="str">
        <x:v>Refresh market cap and reconcile Optimism PBC/Foundation holdings and financing.</x:v>
      </x:c>
    </x:row>
    <x:row r="33">
      <x:c r="A33" s="23" t="n">
        <x:v>29</x:v>
      </x:c>
      <x:c r="B33" s="23" t="str">
        <x:v>aptos</x:v>
      </x:c>
      <x:c r="C33" s="23" t="str">
        <x:v>Aptos</x:v>
      </x:c>
      <x:c r="D33" s="23" t="str">
        <x:v>APT</x:v>
      </x:c>
      <x:c r="E33" s="27" t="str">
        <x:v>Mo Shaikh; Avery Ching</x:v>
      </x:c>
      <x:c r="F33" s="27" t="str">
        <x:v>Circulating token market cap</x:v>
      </x:c>
      <x:c r="G33" s="24"/>
      <x:c r="H33" s="24"/>
      <x:c r="I33" s="24"/>
      <x:c r="J33" s="24" t="n">
        <x:v>0</x:v>
      </x:c>
      <x:c r="K33" s="25" t="str">
        <x:f>IF(G33="","",MAX(0,G33-IF(H33="",0,H33)-IF(I33="",0,I33)-IF(J33="",0,J33)))</x:f>
      </x:c>
      <x:c r="L33" s="25" t="str">
        <x:f>IF(AND(N33="Complete",O33="Complete",P33="Complete"),MAX(0,G33-H33-I33-IF(J33="",0,J33)),"")</x:f>
      </x:c>
      <x:c r="M33" s="26" t="str">
        <x:f>IF(L33="","",COUNTIF($L$5:$L$34,"&gt;"&amp;L33)+1)</x:f>
      </x:c>
      <x:c r="N33" s="28" t="str">
        <x:v>Refresh</x:v>
      </x:c>
      <x:c r="O33" s="28" t="str">
        <x:v>Missing</x:v>
      </x:c>
      <x:c r="P33" s="28" t="str">
        <x:v>Missing</x:v>
      </x:c>
      <x:c r="Q33" s="28" t="str">
        <x:f>IF(AND(N33="Complete",O33="Complete",P33="Complete"),"Ready","Research")</x:f>
        <x:v>Research</x:v>
      </x:c>
      <x:c r="R33" s="23" t="str"/>
      <x:c r="S33" s="23" t="str"/>
      <x:c r="T33" s="23" t="str"/>
      <x:c r="U33" s="27" t="str">
        <x:v>Watchlist candidate.</x:v>
      </x:c>
      <x:c r="V33" s="27" t="str">
        <x:v>Refresh market cap; reconcile Aptos Labs rounds and founder/team circulating APT.</x:v>
      </x:c>
    </x:row>
    <x:row r="34">
      <x:c r="A34" s="23" t="n">
        <x:v>30</x:v>
      </x:c>
      <x:c r="B34" s="23" t="str">
        <x:v>celestia</x:v>
      </x:c>
      <x:c r="C34" s="23" t="str">
        <x:v>Celestia</x:v>
      </x:c>
      <x:c r="D34" s="23" t="str">
        <x:v>TIA</x:v>
      </x:c>
      <x:c r="E34" s="27" t="str">
        <x:v>Mustafa Al-Bassam; Ismail Khoffi; John Adler; Nick White</x:v>
      </x:c>
      <x:c r="F34" s="27" t="str">
        <x:v>Circulating token market cap</x:v>
      </x:c>
      <x:c r="G34" s="24"/>
      <x:c r="H34" s="24"/>
      <x:c r="I34" s="24"/>
      <x:c r="J34" s="24" t="n">
        <x:v>0</x:v>
      </x:c>
      <x:c r="K34" s="25" t="str">
        <x:f>IF(G34="","",MAX(0,G34-IF(H34="",0,H34)-IF(I34="",0,I34)-IF(J34="",0,J34)))</x:f>
      </x:c>
      <x:c r="L34" s="25" t="str">
        <x:f>IF(AND(N34="Complete",O34="Complete",P34="Complete"),MAX(0,G34-H34-I34-IF(J34="",0,J34)),"")</x:f>
      </x:c>
      <x:c r="M34" s="26" t="str">
        <x:f>IF(L34="","",COUNTIF($L$5:$L$34,"&gt;"&amp;L34)+1)</x:f>
      </x:c>
      <x:c r="N34" s="28" t="str">
        <x:v>Refresh</x:v>
      </x:c>
      <x:c r="O34" s="28" t="str">
        <x:v>Missing</x:v>
      </x:c>
      <x:c r="P34" s="28" t="str">
        <x:v>Missing</x:v>
      </x:c>
      <x:c r="Q34" s="28" t="str">
        <x:f>IF(AND(N34="Complete",O34="Complete",P34="Complete"),"Ready","Research")</x:f>
        <x:v>Research</x:v>
      </x:c>
      <x:c r="R34" s="23" t="str"/>
      <x:c r="S34" s="23" t="str"/>
      <x:c r="T34" s="23" t="str"/>
      <x:c r="U34" s="27" t="str">
        <x:v>Watchlist candidate.</x:v>
      </x:c>
      <x:c r="V34" s="27" t="str">
        <x:v>Refresh market cap; reconcile Celestia Labs financing and founder/team circulating TIA.</x:v>
      </x:c>
    </x:row>
  </x:sheetData>
  <x:mergeCells>
    <x:mergeCell ref="A1:V1"/>
    <x:mergeCell ref="A2:V2"/>
  </x:mergeCells>
  <x:conditionalFormatting sqref="Q5:Q34">
    <x:cfRule type="containsText" dxfId="0" priority="1" operator="containsText" text="Ready"/>
    <x:cfRule type="containsText" dxfId="1" priority="2" operator="containsText" text="Research"/>
  </x:conditionalFormatting>
  <x:conditionalFormatting sqref="N5:N34">
    <x:cfRule type="containsText" dxfId="2" priority="3" operator="containsText" text="Complete"/>
    <x:cfRule type="containsText" dxfId="3" priority="4" operator="containsText" text="Partial"/>
    <x:cfRule type="containsText" dxfId="4" priority="5" operator="containsText" text="Missing"/>
    <x:cfRule type="containsText" dxfId="5" priority="6" operator="containsText" text="Refresh"/>
  </x:conditionalFormatting>
  <x:conditionalFormatting sqref="O5:O34">
    <x:cfRule type="containsText" dxfId="6" priority="7" operator="containsText" text="Complete"/>
    <x:cfRule type="containsText" dxfId="7" priority="8" operator="containsText" text="Partial"/>
    <x:cfRule type="containsText" dxfId="8" priority="9" operator="containsText" text="Missing"/>
    <x:cfRule type="containsText" dxfId="9" priority="10" operator="containsText" text="Refresh"/>
  </x:conditionalFormatting>
  <x:conditionalFormatting sqref="P5:P34">
    <x:cfRule type="containsText" dxfId="10" priority="11" operator="containsText" text="Complete"/>
    <x:cfRule type="containsText" dxfId="11" priority="12" operator="containsText" text="Partial"/>
    <x:cfRule type="containsText" dxfId="12" priority="13" operator="containsText" text="Missing"/>
    <x:cfRule type="containsText" dxfId="13" priority="14" operator="containsText" text="Refresh"/>
  </x:conditionalFormatting>
  <x:dataValidations count="1">
    <x:dataValidation type="list" sqref="O5:P34">
      <x:formula1>"Complete,Partial,Missing,Refresh"</x:formula1>
    </x:dataValidation>
  </x:dataValidations>
  <x:pageMargins left="0.7" right="0.7" top="0.75" bottom="0.75" header="0.3" footer="0.3"/>
  <x:legacyDrawing xmlns:r="http://schemas.openxmlformats.org/officeDocument/2006/relationships" r:id="R8ca6e2c828dd4f9f"/>
  <x:tableParts count="1">
    <x:tablePart xmlns:r="http://schemas.openxmlformats.org/officeDocument/2006/relationships" r:id="Ree824c5b6d4e42b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15" hidden="0" customWidth="1"/>
    <x:col min="4" max="4" width="48" hidden="0" customWidth="1"/>
    <x:col min="5" max="5" width="25" hidden="0" customWidth="1"/>
    <x:col min="6" max="6" width="28" hidden="0" customWidth="1"/>
    <x:col min="7" max="7" width="18" hidden="0" customWidth="1"/>
    <x:col min="8" max="8" width="22" hidden="0" customWidth="1"/>
    <x:col min="9" max="9" width="18" hidden="0" customWidth="1"/>
    <x:col min="10" max="10" width="18" hidden="0" customWidth="1"/>
    <x:col min="11" max="11" width="42" hidden="0" customWidth="1"/>
    <x:col min="12" max="12" width="44" hidden="0" customWidth="1"/>
    <x:col min="13" max="13" width="16" hidden="0" customWidth="1"/>
  </x:cols>
  <x:sheetData>
    <x:row r="1" ht="32" customHeight="1">
      <x:c r="A1" s="4" t="str">
        <x:v>Wallet attribution evidence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0" customHeight="1">
      <x:c r="A2" s="8" t="str">
        <x:v>Only public, attributable wallet evidence is included. “Not identified” means unknown—not zero. Low-confidence candidates are explicitly excluded until confirmed.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4" ht="34" customHeight="1">
      <x:c r="A4" s="16" t="str">
        <x:v>Project ID</x:v>
      </x:c>
      <x:c r="B4" s="17" t="str">
        <x:v>Owner / entity</x:v>
      </x:c>
      <x:c r="C4" s="17" t="str">
        <x:v>Chain</x:v>
      </x:c>
      <x:c r="D4" s="17" t="str">
        <x:v>Address or entity</x:v>
      </x:c>
      <x:c r="E4" s="17" t="str">
        <x:v>Evidence type</x:v>
      </x:c>
      <x:c r="F4" s="17" t="str">
        <x:v>Attribution status</x:v>
      </x:c>
      <x:c r="G4" s="17" t="str">
        <x:v>Confidence</x:v>
      </x:c>
      <x:c r="H4" s="17" t="str">
        <x:v>Include in founder deduction?</x:v>
      </x:c>
      <x:c r="I4" s="17" t="str">
        <x:v>Snapshot holdings (USD)</x:v>
      </x:c>
      <x:c r="J4" s="17" t="str">
        <x:v>Source ID</x:v>
      </x:c>
      <x:c r="K4" s="17" t="str">
        <x:v>Source URL</x:v>
      </x:c>
      <x:c r="L4" s="17" t="str">
        <x:v>Notes</x:v>
      </x:c>
      <x:c r="M4" s="18" t="str">
        <x:v>Review status</x:v>
      </x:c>
    </x:row>
    <x:row r="5">
      <x:c r="A5" t="str">
        <x:v>bitcoin</x:v>
      </x:c>
      <x:c r="B5" t="str">
        <x:v>Satoshi Nakamoto cluster</x:v>
      </x:c>
      <x:c r="C5" t="str">
        <x:v>Bitcoin</x:v>
      </x:c>
      <x:c r="D5" s="45" t="str">
        <x:v>~22,000-address entity cluster</x:v>
      </x:c>
      <x:c r="E5" t="str">
        <x:v>Entity cluster</x:v>
      </x:c>
      <x:c r="F5" t="str">
        <x:v>Arkham attributed cluster</x:v>
      </x:c>
      <x:c r="G5" t="str">
        <x:v>Medium-high</x:v>
      </x:c>
      <x:c r="H5" t="str">
        <x:v>Needs review</x:v>
      </x:c>
      <x:c r="I5" s="19"/>
      <x:c r="J5" t="str">
        <x:v>ARK-SATOSHI</x:v>
      </x:c>
      <x:c r="K5" s="44" t="str">
        <x:v>https://arkm.com/explorer/entity/satoshi-nakamoto</x:v>
      </x:c>
      <x:c r="L5" s="46" t="str">
        <x:v>Do not replace this with a single address. Reprice attributed BTC using the same snapshot price as market cap.</x:v>
      </x:c>
      <x:c r="M5" t="str">
        <x:v>Research</x:v>
      </x:c>
    </x:row>
    <x:row r="6">
      <x:c r="A6" t="str">
        <x:v>ethereum</x:v>
      </x:c>
      <x:c r="B6" t="str">
        <x:v>Vitalik Buterin</x:v>
      </x:c>
      <x:c r="C6" t="str">
        <x:v>Ethereum</x:v>
      </x:c>
      <x:c r="D6" s="45" t="str">
        <x:v>0xd8dA6BF26964aF9D7eEd9e03E53415D37aA96045 [address]</x:v>
      </x:c>
      <x:c r="E6" t="str">
        <x:v>Personal wallet / ENS</x:v>
      </x:c>
      <x:c r="F6" t="str">
        <x:v>vitalik.eth; explorer-labeled</x:v>
      </x:c>
      <x:c r="G6" t="str">
        <x:v>High</x:v>
      </x:c>
      <x:c r="H6" t="str">
        <x:v>Yes</x:v>
      </x:c>
      <x:c r="I6" s="19"/>
      <x:c r="J6" t="str">
        <x:v>ETH-VITALIK-1</x:v>
      </x:c>
      <x:c r="K6" s="44" t="str">
        <x:v>https://etherscan.io/address/0xd8dA6BF26964aF9D7eEd9e03E53415D37aA96045</x:v>
      </x:c>
      <x:c r="L6" s="46" t="str">
        <x:v>Count only ETH and eligible assets acquired as founder wealth; ignore spam/airdropped tokens.</x:v>
      </x:c>
      <x:c r="M6" t="str">
        <x:v>Value balance</x:v>
      </x:c>
    </x:row>
    <x:row r="7">
      <x:c r="A7" t="str">
        <x:v>ethereum</x:v>
      </x:c>
      <x:c r="B7" t="str">
        <x:v>Vitalik Buterin</x:v>
      </x:c>
      <x:c r="C7" t="str">
        <x:v>Ethereum</x:v>
      </x:c>
      <x:c r="D7" s="45" t="str">
        <x:v>0xAb5801a7D398351b8bE11C439e05C5B3259aeC9B [address]</x:v>
      </x:c>
      <x:c r="E7" t="str">
        <x:v>Historical personal wallet</x:v>
      </x:c>
      <x:c r="F7" t="str">
        <x:v>Widely labeled historical wallet</x:v>
      </x:c>
      <x:c r="G7" t="str">
        <x:v>High</x:v>
      </x:c>
      <x:c r="H7" t="str">
        <x:v>Needs review</x:v>
      </x:c>
      <x:c r="I7" s="19"/>
      <x:c r="J7" t="str">
        <x:v>ETH-VITALIK-2</x:v>
      </x:c>
      <x:c r="K7" s="44" t="str">
        <x:v>https://etherscan.io/address/0xAb5801a7D398351b8bE11C439e05C5B3259aeC9B</x:v>
      </x:c>
      <x:c r="L7" s="46" t="str">
        <x:v>Historical address; avoid double counting transfers between known wallets.</x:v>
      </x:c>
      <x:c r="M7" t="str">
        <x:v>Research</x:v>
      </x:c>
    </x:row>
    <x:row r="8">
      <x:c r="A8" t="str">
        <x:v>bnb</x:v>
      </x:c>
      <x:c r="B8" t="str">
        <x:v>Changpeng Zhao (CZ)</x:v>
      </x:c>
      <x:c r="C8" t="str">
        <x:v>BNB Smart Chain</x:v>
      </x:c>
      <x:c r="D8" s="45" t="str">
        <x:v>0x28816c4C4792467390C90e5B426F198570E29307 [address]</x:v>
      </x:c>
      <x:c r="E8" t="str">
        <x:v>Public donation/memecoin wallet</x:v>
      </x:c>
      <x:c r="F8" t="str">
        <x:v>Publicly disclosed for this purpose</x:v>
      </x:c>
      <x:c r="G8" t="str">
        <x:v>High for this wallet only</x:v>
      </x:c>
      <x:c r="H8" t="str">
        <x:v>Needs review</x:v>
      </x:c>
      <x:c r="I8" s="19"/>
      <x:c r="J8" t="str">
        <x:v>CZ-WALLET</x:v>
      </x:c>
      <x:c r="K8" s="44" t="str">
        <x:v>https://bscscan.com/address/0x28816c4c4792467390c90e5b426f198570e29307</x:v>
      </x:c>
      <x:c r="L8" s="46" t="str">
        <x:v>This is not evidence of CZ's total BNB holdings.</x:v>
      </x:c>
      <x:c r="M8" t="str">
        <x:v>Research</x:v>
      </x:c>
    </x:row>
    <x:row r="9">
      <x:c r="A9" t="str">
        <x:v>xrp</x:v>
      </x:c>
      <x:c r="B9" t="str">
        <x:v>Chris Larsen</x:v>
      </x:c>
      <x:c r="C9" t="str">
        <x:v>XRP Ledger</x:v>
      </x:c>
      <x:c r="D9" s="45" t="str">
        <x:v>rhREXVHV938ToGkdJQ9NCYEY4x8kSEtjna</x:v>
      </x:c>
      <x:c r="E9" t="str">
        <x:v>Personal wallet</x:v>
      </x:c>
      <x:c r="F9" t="str">
        <x:v>Explorer activity plus reporting</x:v>
      </x:c>
      <x:c r="G9" t="str">
        <x:v>Medium-high</x:v>
      </x:c>
      <x:c r="H9" t="str">
        <x:v>Yes</x:v>
      </x:c>
      <x:c r="I9" s="19"/>
      <x:c r="J9" t="str">
        <x:v>XRP-LARSEN</x:v>
      </x:c>
      <x:c r="K9" s="44" t="str">
        <x:v>https://xrpscan.com/account/rhREXVHV938ToGkdJQ9NCYEY4x8kSEtjna</x:v>
      </x:c>
      <x:c r="L9" s="46" t="str">
        <x:v>Reconcile transfers and any additional Larsen-controlled accounts.</x:v>
      </x:c>
      <x:c r="M9" t="str">
        <x:v>Value balance</x:v>
      </x:c>
    </x:row>
    <x:row r="10">
      <x:c r="A10" t="str">
        <x:v>solana</x:v>
      </x:c>
      <x:c r="B10" t="str">
        <x:v>Anatoly Yakovenko</x:v>
      </x:c>
      <x:c r="C10" t="str">
        <x:v>Solana</x:v>
      </x:c>
      <x:c r="D10" s="45" t="str">
        <x:v>9QgXqrgdbVU8KcpfskqJpAXKzbaYQJecgMAruSWoXDkM</x:v>
      </x:c>
      <x:c r="E10" t="str">
        <x:v>Candidate personal wallet</x:v>
      </x:c>
      <x:c r="F10" t="str">
        <x:v>Rumored; not confirmed by Arkham</x:v>
      </x:c>
      <x:c r="G10" t="str">
        <x:v>Low</x:v>
      </x:c>
      <x:c r="H10" t="str">
        <x:v>No until confirmed</x:v>
      </x:c>
      <x:c r="I10" s="19"/>
      <x:c r="J10" t="str">
        <x:v>ARK-ANATOLY</x:v>
      </x:c>
      <x:c r="K10" s="44" t="str">
        <x:v>https://solscan.io/account/9QgXqrgdbVU8KcpfskqJpAXKzbaYQJecgMAruSWoXDkM</x:v>
      </x:c>
      <x:c r="L10" s="46" t="str">
        <x:v>Do not publish as confirmed.</x:v>
      </x:c>
      <x:c r="M10" t="str">
        <x:v>Hold</x:v>
      </x:c>
    </x:row>
    <x:row r="11">
      <x:c r="A11" t="str">
        <x:v>solana</x:v>
      </x:c>
      <x:c r="B11" t="str">
        <x:v>Anatoly Yakovenko</x:v>
      </x:c>
      <x:c r="C11" t="str">
        <x:v>Solana</x:v>
      </x:c>
      <x:c r="D11" s="45" t="str">
        <x:v>9E8zGfWoWpcL1YawhWsa4ZCaCxRVL7zM1YovdNP69oBA</x:v>
      </x:c>
      <x:c r="E11" t="str">
        <x:v>Candidate stake account</x:v>
      </x:c>
      <x:c r="F11" t="str">
        <x:v>Related in researcher cluster</x:v>
      </x:c>
      <x:c r="G11" t="str">
        <x:v>Low</x:v>
      </x:c>
      <x:c r="H11" t="str">
        <x:v>No until confirmed</x:v>
      </x:c>
      <x:c r="I11" s="19"/>
      <x:c r="J11" t="str">
        <x:v>ARK-ANATOLY</x:v>
      </x:c>
      <x:c r="K11" s="44" t="str">
        <x:v>https://solscan.io/account/9E8zGfWoWpcL1YawhWsa4ZCaCxRVL7zM1YovdNP69oBA</x:v>
      </x:c>
      <x:c r="L11" s="46" t="str">
        <x:v>Related candidate stake account.</x:v>
      </x:c>
      <x:c r="M11" t="str">
        <x:v>Hold</x:v>
      </x:c>
    </x:row>
    <x:row r="12">
      <x:c r="A12" t="str">
        <x:v>solana</x:v>
      </x:c>
      <x:c r="B12" t="str">
        <x:v>Anatoly Yakovenko</x:v>
      </x:c>
      <x:c r="C12" t="str">
        <x:v>Solana</x:v>
      </x:c>
      <x:c r="D12" s="45" t="str">
        <x:v>JQ5jCCtie5ds5FWoajkM7xAEh6AHTmhj8EpT3uXaUtV</x:v>
      </x:c>
      <x:c r="E12" t="str">
        <x:v>Candidate stake account</x:v>
      </x:c>
      <x:c r="F12" t="str">
        <x:v>Related in researcher cluster</x:v>
      </x:c>
      <x:c r="G12" t="str">
        <x:v>Low</x:v>
      </x:c>
      <x:c r="H12" t="str">
        <x:v>No until confirmed</x:v>
      </x:c>
      <x:c r="I12" s="19"/>
      <x:c r="J12" t="str">
        <x:v>ARK-ANATOLY</x:v>
      </x:c>
      <x:c r="K12" s="44" t="str">
        <x:v>https://solscan.io/account/JQ5jCCtie5ds5FWoajkM7xAEh6AHTmhj8EpT3uXaUtV</x:v>
      </x:c>
      <x:c r="L12" s="46" t="str">
        <x:v>Related candidate stake account.</x:v>
      </x:c>
      <x:c r="M12" t="str">
        <x:v>Hold</x:v>
      </x:c>
    </x:row>
    <x:row r="13">
      <x:c r="A13" t="str">
        <x:v>solana</x:v>
      </x:c>
      <x:c r="B13" t="str">
        <x:v>Anatoly Yakovenko</x:v>
      </x:c>
      <x:c r="C13" t="str">
        <x:v>Solana</x:v>
      </x:c>
      <x:c r="D13" s="45" t="str">
        <x:v>A6mJnMNmrfFarL5weFLDgo3t89J12s4DxSVvDqbfGvgk</x:v>
      </x:c>
      <x:c r="E13" t="str">
        <x:v>Candidate stake account</x:v>
      </x:c>
      <x:c r="F13" t="str">
        <x:v>Related in researcher cluster</x:v>
      </x:c>
      <x:c r="G13" t="str">
        <x:v>Low</x:v>
      </x:c>
      <x:c r="H13" t="str">
        <x:v>No until confirmed</x:v>
      </x:c>
      <x:c r="I13" s="19"/>
      <x:c r="J13" t="str">
        <x:v>ARK-ANATOLY</x:v>
      </x:c>
      <x:c r="K13" s="44" t="str">
        <x:v>https://solscan.io/account/A6mJnMNmrfFarL5weFLDgo3t89J12s4DxSVvDqbfGvgk</x:v>
      </x:c>
      <x:c r="L13" s="46" t="str">
        <x:v>Related candidate stake account.</x:v>
      </x:c>
      <x:c r="M13" t="str">
        <x:v>Hold</x:v>
      </x:c>
    </x:row>
    <x:row r="14">
      <x:c r="A14" t="str">
        <x:v>solana</x:v>
      </x:c>
      <x:c r="B14" t="str">
        <x:v>Anatoly Yakovenko</x:v>
      </x:c>
      <x:c r="C14" t="str">
        <x:v>Solana</x:v>
      </x:c>
      <x:c r="D14" s="45" t="str">
        <x:v>7pgzZHqtRtmF3gvoHS61QTBWErBUugwk1vj4fZZ4EPSS</x:v>
      </x:c>
      <x:c r="E14" t="str">
        <x:v>Candidate stake account</x:v>
      </x:c>
      <x:c r="F14" t="str">
        <x:v>Related in researcher cluster</x:v>
      </x:c>
      <x:c r="G14" t="str">
        <x:v>Low</x:v>
      </x:c>
      <x:c r="H14" t="str">
        <x:v>No until confirmed</x:v>
      </x:c>
      <x:c r="I14" s="19"/>
      <x:c r="J14" t="str">
        <x:v>ARK-ANATOLY</x:v>
      </x:c>
      <x:c r="K14" s="44" t="str">
        <x:v>https://solscan.io/account/7pgzZHqtRtmF3gvoHS61QTBWErBUugwk1vj4fZZ4EPSS</x:v>
      </x:c>
      <x:c r="L14" s="46" t="str">
        <x:v>Related candidate stake account.</x:v>
      </x:c>
      <x:c r="M14" t="str">
        <x:v>Hold</x:v>
      </x:c>
    </x:row>
    <x:row r="15">
      <x:c r="A15" t="str">
        <x:v>coinbase</x:v>
      </x:c>
      <x:c r="B15" t="str">
        <x:v>Brian Armstrong</x:v>
      </x:c>
      <x:c r="C15" t="str">
        <x:v>Ethereum</x:v>
      </x:c>
      <x:c r="D15" s="45" t="str">
        <x:v>0x5b76f5b8fc9d700624f78208132f91ad4e61a1f0 [address]</x:v>
      </x:c>
      <x:c r="E15" t="str">
        <x:v>Public ENS-linked wallet</x:v>
      </x:c>
      <x:c r="F15" t="str">
        <x:v>barmstrong.eth profile/explorer</x:v>
      </x:c>
      <x:c r="G15" t="str">
        <x:v>Medium-high</x:v>
      </x:c>
      <x:c r="H15" t="str">
        <x:v>No for COIN equity score</x:v>
      </x:c>
      <x:c r="I15" s="19"/>
      <x:c r="J15" t="str">
        <x:v>COIN-BRIAN-WALLET</x:v>
      </x:c>
      <x:c r="K15" s="44" t="str">
        <x:v>https://etherscan.io/address/0x5b76f5b8fc9d700624f78208132f91ad4e61a1f0</x:v>
      </x:c>
      <x:c r="L15" s="46" t="str">
        <x:v>Supplementary only. Coinbase founder exclusion is SEC-disclosed COIN ownership.</x:v>
      </x:c>
      <x:c r="M15" t="str">
        <x:v>Hold</x:v>
      </x:c>
    </x:row>
    <x:row r="16">
      <x:c r="A16" t="str">
        <x:v>tron</x:v>
      </x:c>
      <x:c r="B16" t="str">
        <x:v>Justin Sun</x:v>
      </x:c>
      <x:c r="C16" t="str">
        <x:v>Ethereum</x:v>
      </x:c>
      <x:c r="D16" s="45" t="str">
        <x:v>0x3DdfA8eC3052539b6C9549F12cEA2C295cfF5296 [address]</x:v>
      </x:c>
      <x:c r="E16" t="str">
        <x:v>Entity-linked wallet</x:v>
      </x:c>
      <x:c r="F16" t="str">
        <x:v>Explorer/researcher attribution</x:v>
      </x:c>
      <x:c r="G16" t="str">
        <x:v>Medium-high</x:v>
      </x:c>
      <x:c r="H16" t="str">
        <x:v>Needs review</x:v>
      </x:c>
      <x:c r="I16" s="19"/>
      <x:c r="J16" t="str">
        <x:v>ARK-JUSTIN</x:v>
      </x:c>
      <x:c r="K16" s="44" t="str">
        <x:v>https://etherscan.io/address/0x3ddfa8ec3052539b6c9549f12cea2c295cff5296</x:v>
      </x:c>
      <x:c r="L16" s="46" t="str">
        <x:v>Multi-chain entity; count only eligible TRX in TRON score.</x:v>
      </x:c>
      <x:c r="M16" t="str">
        <x:v>Research</x:v>
      </x:c>
    </x:row>
    <x:row r="17">
      <x:c r="A17" t="str">
        <x:v>uniswap</x:v>
      </x:c>
      <x:c r="B17" t="str">
        <x:v>Hayden Adams</x:v>
      </x:c>
      <x:c r="C17" t="str">
        <x:v>Ethereum</x:v>
      </x:c>
      <x:c r="D17" s="45" t="str">
        <x:v>0x11E4857Bb9993a50c685A79AFad4E6F65D518DDa [address]</x:v>
      </x:c>
      <x:c r="E17" t="str">
        <x:v>Self-disclosed wallet</x:v>
      </x:c>
      <x:c r="F17" t="str">
        <x:v>Hayden Adams public disclosure</x:v>
      </x:c>
      <x:c r="G17" t="str">
        <x:v>High historically</x:v>
      </x:c>
      <x:c r="H17" t="str">
        <x:v>Yes</x:v>
      </x:c>
      <x:c r="I17" s="19"/>
      <x:c r="J17" t="str">
        <x:v>UNI-HAYDEN</x:v>
      </x:c>
      <x:c r="K17" s="44" t="str">
        <x:v>https://etherscan.io/address/0x11E4857Bb9993a50c685A79AFad4E6F65D518DDa</x:v>
      </x:c>
      <x:c r="L17" s="46" t="str">
        <x:v>Currentness should be reconfirmed; avoid counting protocol treasury.</x:v>
      </x:c>
      <x:c r="M17" t="str">
        <x:v>Value balance</x:v>
      </x:c>
    </x:row>
    <x:row r="18">
      <x:c r="A18" t="str">
        <x:v>aave</x:v>
      </x:c>
      <x:c r="B18" t="str">
        <x:v>Stani Kulechov</x:v>
      </x:c>
      <x:c r="C18" t="str">
        <x:v>Ethereum</x:v>
      </x:c>
      <x:c r="D18" s="45" t="str">
        <x:v>0x2e21f5d32841cf8c7da805185a041400bf15f21a [address]</x:v>
      </x:c>
      <x:c r="E18" t="str">
        <x:v>Founder-linked wallet</x:v>
      </x:c>
      <x:c r="F18" t="str">
        <x:v>Explorer/researcher linked</x:v>
      </x:c>
      <x:c r="G18" t="str">
        <x:v>Medium</x:v>
      </x:c>
      <x:c r="H18" t="str">
        <x:v>Needs review</x:v>
      </x:c>
      <x:c r="I18" s="19"/>
      <x:c r="J18" t="str">
        <x:v>AAVE-STANI</x:v>
      </x:c>
      <x:c r="K18" s="44" t="str">
        <x:v>https://etherscan.io/address/0x2e21f5d32841cf8c7da805185a041400bf15f21a</x:v>
      </x:c>
      <x:c r="L18" s="46" t="str">
        <x:v>Check ownership/currentness before including.</x:v>
      </x:c>
      <x:c r="M18" t="str">
        <x:v>Research</x:v>
      </x:c>
    </x:row>
    <x:row r="19">
      <x:c r="A19" t="str">
        <x:v>aave</x:v>
      </x:c>
      <x:c r="B19" t="str">
        <x:v>Stani Kulechov</x:v>
      </x:c>
      <x:c r="C19" t="str">
        <x:v>Ethereum</x:v>
      </x:c>
      <x:c r="D19" s="45" t="str">
        <x:v>0x47ca539b3f546078d97bd851130741c6bf370100 [address]</x:v>
      </x:c>
      <x:c r="E19" t="str">
        <x:v>Founder-linked Safe</x:v>
      </x:c>
      <x:c r="F19" t="str">
        <x:v>Researcher linked</x:v>
      </x:c>
      <x:c r="G19" t="str">
        <x:v>Medium</x:v>
      </x:c>
      <x:c r="H19" t="str">
        <x:v>Needs review</x:v>
      </x:c>
      <x:c r="I19" s="19"/>
      <x:c r="J19" t="str">
        <x:v>AAVE-STANI-SAFE</x:v>
      </x:c>
      <x:c r="K19" s="44" t="str">
        <x:v>https://etherscan.io/address/0x47ca539b3f546078d97bd851130741c6bf370100</x:v>
      </x:c>
      <x:c r="L19" s="46" t="str">
        <x:v>Check Safe owners and avoid double counting transfers.</x:v>
      </x:c>
      <x:c r="M19" t="str">
        <x:v>Research</x:v>
      </x:c>
    </x:row>
    <x:row r="20">
      <x:c r="A20" t="str">
        <x:v>hyperliquid</x:v>
      </x:c>
      <x:c r="B20" t="str">
        <x:v>Jeff Yan / Hyperliquid founding team</x:v>
      </x:c>
      <x:c r="C20" t="str"/>
      <x:c r="D20" s="45" t="str"/>
      <x:c r="E20" t="str">
        <x:v>No public wallet accepted yet</x:v>
      </x:c>
      <x:c r="F20" t="str">
        <x:v>Not identified</x:v>
      </x:c>
      <x:c r="G20" t="str">
        <x:v>Unknown</x:v>
      </x:c>
      <x:c r="H20" t="str">
        <x:v>No</x:v>
      </x:c>
      <x:c r="I20" s="19"/>
      <x:c r="J20" t="str"/>
      <x:c r="K20" s="44" t="str"/>
      <x:c r="L20" s="46" t="str">
        <x:v>Unknown is not zero. Research before publication.</x:v>
      </x:c>
      <x:c r="M20" t="str">
        <x:v>Hold</x:v>
      </x:c>
    </x:row>
    <x:row r="21">
      <x:c r="A21" t="str">
        <x:v>dogecoin</x:v>
      </x:c>
      <x:c r="B21" t="str">
        <x:v>Billy Markus; Jackson Palmer</x:v>
      </x:c>
      <x:c r="C21" t="str"/>
      <x:c r="D21" s="45" t="str"/>
      <x:c r="E21" t="str">
        <x:v>No public wallet accepted yet</x:v>
      </x:c>
      <x:c r="F21" t="str">
        <x:v>Not identified</x:v>
      </x:c>
      <x:c r="G21" t="str">
        <x:v>Unknown</x:v>
      </x:c>
      <x:c r="H21" t="str">
        <x:v>No</x:v>
      </x:c>
      <x:c r="I21" s="19"/>
      <x:c r="J21" t="str"/>
      <x:c r="K21" s="44" t="str"/>
      <x:c r="L21" s="46" t="str">
        <x:v>Unknown is not zero. Research before publication.</x:v>
      </x:c>
      <x:c r="M21" t="str">
        <x:v>Hold</x:v>
      </x:c>
    </x:row>
    <x:row r="22">
      <x:c r="A22" t="str">
        <x:v>cardano</x:v>
      </x:c>
      <x:c r="B22" t="str">
        <x:v>Charles Hoskinson; Jeremy Wood</x:v>
      </x:c>
      <x:c r="C22" t="str"/>
      <x:c r="D22" s="45" t="str"/>
      <x:c r="E22" t="str">
        <x:v>No public wallet accepted yet</x:v>
      </x:c>
      <x:c r="F22" t="str">
        <x:v>Not identified</x:v>
      </x:c>
      <x:c r="G22" t="str">
        <x:v>Unknown</x:v>
      </x:c>
      <x:c r="H22" t="str">
        <x:v>No</x:v>
      </x:c>
      <x:c r="I22" s="19"/>
      <x:c r="J22" t="str"/>
      <x:c r="K22" s="44" t="str"/>
      <x:c r="L22" s="46" t="str">
        <x:v>Unknown is not zero. Research before publication.</x:v>
      </x:c>
      <x:c r="M22" t="str">
        <x:v>Hold</x:v>
      </x:c>
    </x:row>
    <x:row r="23">
      <x:c r="A23" t="str">
        <x:v>chainlink</x:v>
      </x:c>
      <x:c r="B23" t="str">
        <x:v>Sergey Nazarov; Steve Ellis</x:v>
      </x:c>
      <x:c r="C23" t="str"/>
      <x:c r="D23" s="45" t="str"/>
      <x:c r="E23" t="str">
        <x:v>No public wallet accepted yet</x:v>
      </x:c>
      <x:c r="F23" t="str">
        <x:v>Not identified</x:v>
      </x:c>
      <x:c r="G23" t="str">
        <x:v>Unknown</x:v>
      </x:c>
      <x:c r="H23" t="str">
        <x:v>No</x:v>
      </x:c>
      <x:c r="I23" s="19"/>
      <x:c r="J23" t="str"/>
      <x:c r="K23" s="44" t="str"/>
      <x:c r="L23" s="46" t="str">
        <x:v>Unknown is not zero. Research before publication.</x:v>
      </x:c>
      <x:c r="M23" t="str">
        <x:v>Hold</x:v>
      </x:c>
    </x:row>
    <x:row r="24">
      <x:c r="A24" t="str">
        <x:v>stellar</x:v>
      </x:c>
      <x:c r="B24" t="str">
        <x:v>Jed McCaleb; Joyce Kim</x:v>
      </x:c>
      <x:c r="C24" t="str"/>
      <x:c r="D24" s="45" t="str"/>
      <x:c r="E24" t="str">
        <x:v>No public wallet accepted yet</x:v>
      </x:c>
      <x:c r="F24" t="str">
        <x:v>Not identified</x:v>
      </x:c>
      <x:c r="G24" t="str">
        <x:v>Unknown</x:v>
      </x:c>
      <x:c r="H24" t="str">
        <x:v>No</x:v>
      </x:c>
      <x:c r="I24" s="19"/>
      <x:c r="J24" t="str"/>
      <x:c r="K24" s="44" t="str"/>
      <x:c r="L24" s="46" t="str">
        <x:v>Unknown is not zero. Research before publication.</x:v>
      </x:c>
      <x:c r="M24" t="str">
        <x:v>Hold</x:v>
      </x:c>
    </x:row>
    <x:row r="25">
      <x:c r="A25" t="str">
        <x:v>canton</x:v>
      </x:c>
      <x:c r="B25" t="str">
        <x:v>Digital Asset / Canton founding contributors</x:v>
      </x:c>
      <x:c r="C25" t="str"/>
      <x:c r="D25" s="45" t="str"/>
      <x:c r="E25" t="str">
        <x:v>No public wallet accepted yet</x:v>
      </x:c>
      <x:c r="F25" t="str">
        <x:v>Not identified</x:v>
      </x:c>
      <x:c r="G25" t="str">
        <x:v>Unknown</x:v>
      </x:c>
      <x:c r="H25" t="str">
        <x:v>No</x:v>
      </x:c>
      <x:c r="I25" s="19"/>
      <x:c r="J25" t="str"/>
      <x:c r="K25" s="44" t="str"/>
      <x:c r="L25" s="46" t="str">
        <x:v>Unknown is not zero. Research before publication.</x:v>
      </x:c>
      <x:c r="M25" t="str">
        <x:v>Hold</x:v>
      </x:c>
    </x:row>
    <x:row r="26">
      <x:c r="A26" t="str">
        <x:v>litecoin</x:v>
      </x:c>
      <x:c r="B26" t="str">
        <x:v>Charlie Lee</x:v>
      </x:c>
      <x:c r="C26" t="str"/>
      <x:c r="D26" s="45" t="str"/>
      <x:c r="E26" t="str">
        <x:v>No public wallet accepted yet</x:v>
      </x:c>
      <x:c r="F26" t="str">
        <x:v>Not identified</x:v>
      </x:c>
      <x:c r="G26" t="str">
        <x:v>Unknown</x:v>
      </x:c>
      <x:c r="H26" t="str">
        <x:v>No</x:v>
      </x:c>
      <x:c r="I26" s="19"/>
      <x:c r="J26" t="str"/>
      <x:c r="K26" s="44" t="str"/>
      <x:c r="L26" s="46" t="str">
        <x:v>Unknown is not zero. Research before publication.</x:v>
      </x:c>
      <x:c r="M26" t="str">
        <x:v>Hold</x:v>
      </x:c>
    </x:row>
    <x:row r="27">
      <x:c r="A27" t="str">
        <x:v>hedera</x:v>
      </x:c>
      <x:c r="B27" t="str">
        <x:v>Leemon Baird; Mance Harmon</x:v>
      </x:c>
      <x:c r="C27" t="str"/>
      <x:c r="D27" s="45" t="str"/>
      <x:c r="E27" t="str">
        <x:v>No public wallet accepted yet</x:v>
      </x:c>
      <x:c r="F27" t="str">
        <x:v>Not identified</x:v>
      </x:c>
      <x:c r="G27" t="str">
        <x:v>Unknown</x:v>
      </x:c>
      <x:c r="H27" t="str">
        <x:v>No</x:v>
      </x:c>
      <x:c r="I27" s="19"/>
      <x:c r="J27" t="str"/>
      <x:c r="K27" s="44" t="str"/>
      <x:c r="L27" s="46" t="str">
        <x:v>Unknown is not zero. Research before publication.</x:v>
      </x:c>
      <x:c r="M27" t="str">
        <x:v>Hold</x:v>
      </x:c>
    </x:row>
    <x:row r="28">
      <x:c r="A28" t="str">
        <x:v>sui</x:v>
      </x:c>
      <x:c r="B28" t="str">
        <x:v>Mysten Labs founders</x:v>
      </x:c>
      <x:c r="C28" t="str"/>
      <x:c r="D28" s="45" t="str"/>
      <x:c r="E28" t="str">
        <x:v>No public wallet accepted yet</x:v>
      </x:c>
      <x:c r="F28" t="str">
        <x:v>Not identified</x:v>
      </x:c>
      <x:c r="G28" t="str">
        <x:v>Unknown</x:v>
      </x:c>
      <x:c r="H28" t="str">
        <x:v>No</x:v>
      </x:c>
      <x:c r="I28" s="19"/>
      <x:c r="J28" t="str"/>
      <x:c r="K28" s="44" t="str"/>
      <x:c r="L28" s="46" t="str">
        <x:v>Unknown is not zero. Research before publication.</x:v>
      </x:c>
      <x:c r="M28" t="str">
        <x:v>Hold</x:v>
      </x:c>
    </x:row>
    <x:row r="29">
      <x:c r="A29" t="str">
        <x:v>avalanche</x:v>
      </x:c>
      <x:c r="B29" t="str">
        <x:v>Ava Labs founders</x:v>
      </x:c>
      <x:c r="C29" t="str"/>
      <x:c r="D29" s="45" t="str"/>
      <x:c r="E29" t="str">
        <x:v>No public wallet accepted yet</x:v>
      </x:c>
      <x:c r="F29" t="str">
        <x:v>Not identified</x:v>
      </x:c>
      <x:c r="G29" t="str">
        <x:v>Unknown</x:v>
      </x:c>
      <x:c r="H29" t="str">
        <x:v>No</x:v>
      </x:c>
      <x:c r="I29" s="19"/>
      <x:c r="J29" t="str"/>
      <x:c r="K29" s="44" t="str"/>
      <x:c r="L29" s="46" t="str">
        <x:v>Unknown is not zero. Research before publication.</x:v>
      </x:c>
      <x:c r="M29" t="str">
        <x:v>Hold</x:v>
      </x:c>
    </x:row>
    <x:row r="30">
      <x:c r="A30" t="str">
        <x:v>near</x:v>
      </x:c>
      <x:c r="B30" t="str">
        <x:v>Illia Polosukhin; Alexander Skidanov</x:v>
      </x:c>
      <x:c r="C30" t="str"/>
      <x:c r="D30" s="45" t="str"/>
      <x:c r="E30" t="str">
        <x:v>No public wallet accepted yet</x:v>
      </x:c>
      <x:c r="F30" t="str">
        <x:v>Not identified</x:v>
      </x:c>
      <x:c r="G30" t="str">
        <x:v>Unknown</x:v>
      </x:c>
      <x:c r="H30" t="str">
        <x:v>No</x:v>
      </x:c>
      <x:c r="I30" s="19"/>
      <x:c r="J30" t="str"/>
      <x:c r="K30" s="44" t="str"/>
      <x:c r="L30" s="46" t="str">
        <x:v>Unknown is not zero. Research before publication.</x:v>
      </x:c>
      <x:c r="M30" t="str">
        <x:v>Hold</x:v>
      </x:c>
    </x:row>
    <x:row r="31">
      <x:c r="A31" t="str">
        <x:v>ondo</x:v>
      </x:c>
      <x:c r="B31" t="str">
        <x:v>Nathan Allman; Pinku Surana</x:v>
      </x:c>
      <x:c r="C31" t="str"/>
      <x:c r="D31" s="45" t="str"/>
      <x:c r="E31" t="str">
        <x:v>No public wallet accepted yet</x:v>
      </x:c>
      <x:c r="F31" t="str">
        <x:v>Not identified</x:v>
      </x:c>
      <x:c r="G31" t="str">
        <x:v>Unknown</x:v>
      </x:c>
      <x:c r="H31" t="str">
        <x:v>No</x:v>
      </x:c>
      <x:c r="I31" s="19"/>
      <x:c r="J31" t="str"/>
      <x:c r="K31" s="44" t="str"/>
      <x:c r="L31" s="46" t="str">
        <x:v>Unknown is not zero. Research before publication.</x:v>
      </x:c>
      <x:c r="M31" t="str">
        <x:v>Hold</x:v>
      </x:c>
    </x:row>
    <x:row r="32">
      <x:c r="A32" t="str">
        <x:v>bittensor</x:v>
      </x:c>
      <x:c r="B32" t="str">
        <x:v>Ala Shaabana; Jacob Steeves</x:v>
      </x:c>
      <x:c r="C32" t="str"/>
      <x:c r="D32" s="45" t="str"/>
      <x:c r="E32" t="str">
        <x:v>No public wallet accepted yet</x:v>
      </x:c>
      <x:c r="F32" t="str">
        <x:v>Not identified</x:v>
      </x:c>
      <x:c r="G32" t="str">
        <x:v>Unknown</x:v>
      </x:c>
      <x:c r="H32" t="str">
        <x:v>No</x:v>
      </x:c>
      <x:c r="I32" s="19"/>
      <x:c r="J32" t="str"/>
      <x:c r="K32" s="44" t="str"/>
      <x:c r="L32" s="46" t="str">
        <x:v>Unknown is not zero. Research before publication.</x:v>
      </x:c>
      <x:c r="M32" t="str">
        <x:v>Hold</x:v>
      </x:c>
    </x:row>
    <x:row r="33">
      <x:c r="A33" t="str">
        <x:v>sky</x:v>
      </x:c>
      <x:c r="B33" t="str">
        <x:v>Rune Christensen</x:v>
      </x:c>
      <x:c r="C33" t="str"/>
      <x:c r="D33" s="45" t="str"/>
      <x:c r="E33" t="str">
        <x:v>No public wallet accepted yet</x:v>
      </x:c>
      <x:c r="F33" t="str">
        <x:v>Not identified</x:v>
      </x:c>
      <x:c r="G33" t="str">
        <x:v>Unknown</x:v>
      </x:c>
      <x:c r="H33" t="str">
        <x:v>No</x:v>
      </x:c>
      <x:c r="I33" s="19"/>
      <x:c r="J33" t="str"/>
      <x:c r="K33" s="44" t="str"/>
      <x:c r="L33" s="46" t="str">
        <x:v>Unknown is not zero. Research before publication.</x:v>
      </x:c>
      <x:c r="M33" t="str">
        <x:v>Hold</x:v>
      </x:c>
    </x:row>
    <x:row r="34">
      <x:c r="A34" t="str">
        <x:v>morpho</x:v>
      </x:c>
      <x:c r="B34" t="str">
        <x:v>Morpho founders</x:v>
      </x:c>
      <x:c r="C34" t="str"/>
      <x:c r="D34" s="45" t="str"/>
      <x:c r="E34" t="str">
        <x:v>No public wallet accepted yet</x:v>
      </x:c>
      <x:c r="F34" t="str">
        <x:v>Not identified</x:v>
      </x:c>
      <x:c r="G34" t="str">
        <x:v>Unknown</x:v>
      </x:c>
      <x:c r="H34" t="str">
        <x:v>No</x:v>
      </x:c>
      <x:c r="I34" s="19"/>
      <x:c r="J34" t="str"/>
      <x:c r="K34" s="44" t="str"/>
      <x:c r="L34" s="46" t="str">
        <x:v>Unknown is not zero. Research before publication.</x:v>
      </x:c>
      <x:c r="M34" t="str">
        <x:v>Hold</x:v>
      </x:c>
    </x:row>
    <x:row r="35">
      <x:c r="A35" t="str">
        <x:v>polkadot</x:v>
      </x:c>
      <x:c r="B35" t="str">
        <x:v>Gavin Wood; Robert Habermeier; Peter Czaban</x:v>
      </x:c>
      <x:c r="C35" t="str"/>
      <x:c r="D35" s="45" t="str"/>
      <x:c r="E35" t="str">
        <x:v>No public wallet accepted yet</x:v>
      </x:c>
      <x:c r="F35" t="str">
        <x:v>Not identified</x:v>
      </x:c>
      <x:c r="G35" t="str">
        <x:v>Unknown</x:v>
      </x:c>
      <x:c r="H35" t="str">
        <x:v>No</x:v>
      </x:c>
      <x:c r="I35" s="19"/>
      <x:c r="J35" t="str"/>
      <x:c r="K35" s="44" t="str"/>
      <x:c r="L35" s="46" t="str">
        <x:v>Unknown is not zero. Research before publication.</x:v>
      </x:c>
      <x:c r="M35" t="str">
        <x:v>Hold</x:v>
      </x:c>
    </x:row>
    <x:row r="36">
      <x:c r="A36" t="str">
        <x:v>internet-computer</x:v>
      </x:c>
      <x:c r="B36" t="str">
        <x:v>Dominic Williams / DFINITY founding team</x:v>
      </x:c>
      <x:c r="C36" t="str"/>
      <x:c r="D36" s="45" t="str"/>
      <x:c r="E36" t="str">
        <x:v>No public wallet accepted yet</x:v>
      </x:c>
      <x:c r="F36" t="str">
        <x:v>Not identified</x:v>
      </x:c>
      <x:c r="G36" t="str">
        <x:v>Unknown</x:v>
      </x:c>
      <x:c r="H36" t="str">
        <x:v>No</x:v>
      </x:c>
      <x:c r="I36" s="19"/>
      <x:c r="J36" t="str"/>
      <x:c r="K36" s="44" t="str"/>
      <x:c r="L36" s="46" t="str">
        <x:v>Unknown is not zero. Research before publication.</x:v>
      </x:c>
      <x:c r="M36" t="str">
        <x:v>Hold</x:v>
      </x:c>
    </x:row>
  </x:sheetData>
  <x:mergeCells>
    <x:mergeCell ref="A1:M1"/>
    <x:mergeCell ref="A2:M2"/>
  </x:mergeCells>
  <x:conditionalFormatting sqref="M5:M36">
    <x:cfRule type="containsText" dxfId="16" priority="1" operator="containsText" text="Value balance"/>
    <x:cfRule type="containsText" dxfId="17" priority="2" operator="containsText" text="Research"/>
    <x:cfRule type="containsText" dxfId="18" priority="3" operator="containsText" text="Hold"/>
  </x:conditionalFormatting>
  <x:pageMargins left="0.7" right="0.7" top="0.75" bottom="0.75" header="0.3" footer="0.3"/>
  <x:tableParts count="1">
    <x:tablePart xmlns:r="http://schemas.openxmlformats.org/officeDocument/2006/relationships" r:id="R18b8076dbfe44bd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5" hidden="0" customWidth="1"/>
    <x:col min="5" max="5" width="14" hidden="0" customWidth="1"/>
    <x:col min="6" max="6" width="18" hidden="0" customWidth="1"/>
    <x:col min="7" max="7" width="50" hidden="0" customWidth="1"/>
    <x:col min="8" max="8" width="52" hidden="0" customWidth="1"/>
  </x:cols>
  <x:sheetData>
    <x:row r="1" ht="32" customHeight="1">
      <x:c r="A1" s="4" t="str">
        <x:v>External capital evidence</x:v>
      </x:c>
      <x:c r="B1" s="4"/>
      <x:c r="C1" s="4"/>
      <x:c r="D1" s="4"/>
      <x:c r="E1" s="4"/>
      <x:c r="F1" s="4"/>
      <x:c r="G1" s="4"/>
      <x:c r="H1" s="4"/>
    </x:row>
    <x:row r="2" ht="30" customHeight="1">
      <x:c r="A2" s="8" t="str">
        <x:v>Amounts are verified minimums unless completeness is “Complete.” Primary equity and primary token-sale proceeds belong here; secondary trades do not.</x:v>
      </x:c>
      <x:c r="B2" s="8"/>
      <x:c r="C2" s="8"/>
      <x:c r="D2" s="8"/>
      <x:c r="E2" s="8"/>
      <x:c r="F2" s="8"/>
      <x:c r="G2" s="8"/>
      <x:c r="H2" s="8"/>
    </x:row>
    <x:row r="4" ht="34" customHeight="1">
      <x:c r="A4" s="16" t="str">
        <x:v>Project ID</x:v>
      </x:c>
      <x:c r="B4" s="17" t="str">
        <x:v>Capital type</x:v>
      </x:c>
      <x:c r="C4" s="17" t="str">
        <x:v>Amount (USD)</x:v>
      </x:c>
      <x:c r="D4" s="17" t="str">
        <x:v>Date / cutoff</x:v>
      </x:c>
      <x:c r="E4" s="17" t="str">
        <x:v>Completeness</x:v>
      </x:c>
      <x:c r="F4" s="17" t="str">
        <x:v>Source ID</x:v>
      </x:c>
      <x:c r="G4" s="17" t="str">
        <x:v>Source URL</x:v>
      </x:c>
      <x:c r="H4" s="18" t="str">
        <x:v>Notes</x:v>
      </x:c>
    </x:row>
    <x:row r="5">
      <x:c r="A5" t="str">
        <x:v>bitcoin</x:v>
      </x:c>
      <x:c r="B5" t="str">
        <x:v>Outside capital</x:v>
      </x:c>
      <x:c r="C5" s="20" t="n">
        <x:v>0</x:v>
      </x:c>
      <x:c r="D5" t="str">
        <x:v>2009-01-03</x:v>
      </x:c>
      <x:c r="E5" t="str">
        <x:v>Complete</x:v>
      </x:c>
      <x:c r="F5" t="str">
        <x:v>BTC-FAIR-LAUNCH</x:v>
      </x:c>
      <x:c r="G5" s="44" t="str">
        <x:v>https://bitcoin.org/bitcoin.pdf</x:v>
      </x:c>
      <x:c r="H5" s="46" t="str">
        <x:v>Fair launch; no primary capital raise identified.</x:v>
      </x:c>
    </x:row>
    <x:row r="6">
      <x:c r="A6" t="str">
        <x:v>ethereum</x:v>
      </x:c>
      <x:c r="B6" t="str">
        <x:v>Public token crowdsale proceeds</x:v>
      </x:c>
      <x:c r="C6" s="20" t="n">
        <x:v>18300000</x:v>
      </x:c>
      <x:c r="D6" t="str">
        <x:v>2014-09-02</x:v>
      </x:c>
      <x:c r="E6" t="str">
        <x:v>Partial</x:v>
      </x:c>
      <x:c r="F6" t="str">
        <x:v>ETH-CROWDSALE</x:v>
      </x:c>
      <x:c r="G6" s="44" t="str">
        <x:v>https://ethereum.org/en/history/</x:v>
      </x:c>
      <x:c r="H6" s="46" t="str">
        <x:v>Approximate USD proceeds; reconcile BTC proceeds at transaction dates and any other external financing.</x:v>
      </x:c>
    </x:row>
    <x:row r="7">
      <x:c r="A7" t="str">
        <x:v>bnb</x:v>
      </x:c>
      <x:c r="B7" t="str">
        <x:v>BNB ICO proceeds</x:v>
      </x:c>
      <x:c r="C7" s="20" t="n">
        <x:v>15000000</x:v>
      </x:c>
      <x:c r="D7" t="str">
        <x:v>2017-07-21</x:v>
      </x:c>
      <x:c r="E7" t="str">
        <x:v>Partial</x:v>
      </x:c>
      <x:c r="F7" t="str">
        <x:v>BNB-ICO</x:v>
      </x:c>
      <x:c r="G7" s="44" t="str">
        <x:v>https://academy.binance.com/en/articles/what-is-bnb</x:v>
      </x:c>
      <x:c r="H7" s="46" t="str">
        <x:v>Does not establish complete Binance corporate financing history.</x:v>
      </x:c>
    </x:row>
    <x:row r="8">
      <x:c r="A8" t="str">
        <x:v>solana</x:v>
      </x:c>
      <x:c r="B8" t="str">
        <x:v>Private token sale</x:v>
      </x:c>
      <x:c r="C8" s="20" t="n">
        <x:v>314159265</x:v>
      </x:c>
      <x:c r="D8" t="str">
        <x:v>2021-06-09</x:v>
      </x:c>
      <x:c r="E8" t="str">
        <x:v>Partial</x:v>
      </x:c>
      <x:c r="F8" t="str">
        <x:v>SOL-2021-SALE</x:v>
      </x:c>
      <x:c r="G8" s="44" t="str">
        <x:v>https://solana.com/news/solana-labs-completes-a-314-15m-private-token-sale-led-by-andreessen-horowitz-and-polychain-capital</x:v>
      </x:c>
      <x:c r="H8" s="46" t="str">
        <x:v>Official amount; earlier sales/rounds still need reconciliation.</x:v>
      </x:c>
    </x:row>
    <x:row r="9">
      <x:c r="A9" t="str">
        <x:v>coinbase</x:v>
      </x:c>
      <x:c r="B9" t="str">
        <x:v>Known pre-listing venture funding</x:v>
      </x:c>
      <x:c r="C9" s="20" t="n">
        <x:v>547300000</x:v>
      </x:c>
      <x:c r="D9" t="str">
        <x:v>2021-04-14</x:v>
      </x:c>
      <x:c r="E9" t="str">
        <x:v>Partial</x:v>
      </x:c>
      <x:c r="F9" t="str">
        <x:v>COIN-FUNDING</x:v>
      </x:c>
      <x:c r="G9" s="44" t="str">
        <x:v>https://news.crunchbase.com/fintech-ecommerce/coinbase-chooses-direct-listing/</x:v>
      </x:c>
      <x:c r="H9" s="46" t="str">
        <x:v>Reconcile against primary round documents; secondary transactions should not be treated as capital raised by Coinbase.</x:v>
      </x:c>
    </x:row>
    <x:row r="10">
      <x:c r="A10" t="str">
        <x:v>tron</x:v>
      </x:c>
      <x:c r="B10" t="str">
        <x:v>TRX ICO proceeds</x:v>
      </x:c>
      <x:c r="C10" s="20" t="n">
        <x:v>70000000</x:v>
      </x:c>
      <x:c r="D10" t="str">
        <x:v>2017-09-02</x:v>
      </x:c>
      <x:c r="E10" t="str">
        <x:v>Partial</x:v>
      </x:c>
      <x:c r="F10" t="str">
        <x:v>TRON-ICO</x:v>
      </x:c>
      <x:c r="G10" s="44" t="str">
        <x:v>https://tron.network/static/doc/white_paper_v_2_0.pdf</x:v>
      </x:c>
      <x:c r="H10" s="46" t="str">
        <x:v>Verify exact proceeds and any equity/company financing.</x:v>
      </x:c>
    </x:row>
    <x:row r="11">
      <x:c r="A11" t="str">
        <x:v>hyperliquid</x:v>
      </x:c>
      <x:c r="B11" t="str">
        <x:v>Outside capital</x:v>
      </x:c>
      <x:c r="C11" s="20" t="n">
        <x:v>0</x:v>
      </x:c>
      <x:c r="D11" t="str"/>
      <x:c r="E11" t="str">
        <x:v>Partial</x:v>
      </x:c>
      <x:c r="F11" t="str">
        <x:v>HYPE-SELF-FUNDED</x:v>
      </x:c>
      <x:c r="G11" s="44" t="str">
        <x:v>https://hyperfoundation.org/</x:v>
      </x:c>
      <x:c r="H11" s="46" t="str">
        <x:v>Self-funded/no-VC claim needs a complete, primary-source capital-history citation.</x:v>
      </x:c>
    </x:row>
    <x:row r="12">
      <x:c r="A12" t="str">
        <x:v>dogecoin</x:v>
      </x:c>
      <x:c r="B12" t="str">
        <x:v>Outside capital</x:v>
      </x:c>
      <x:c r="C12" s="20" t="n">
        <x:v>0</x:v>
      </x:c>
      <x:c r="D12" t="str">
        <x:v>2013-12-06</x:v>
      </x:c>
      <x:c r="E12" t="str">
        <x:v>Complete</x:v>
      </x:c>
      <x:c r="F12" t="str">
        <x:v>DOGE-FAIR-LAUNCH</x:v>
      </x:c>
      <x:c r="G12" s="44" t="str">
        <x:v>https://dogecoin.com/dogepedia/articles/history-of-dogecoin/</x:v>
      </x:c>
      <x:c r="H12" s="46" t="str">
        <x:v>Fair launch; no team token sale identified.</x:v>
      </x:c>
    </x:row>
    <x:row r="13">
      <x:c r="A13" t="str">
        <x:v>cardano</x:v>
      </x:c>
      <x:c r="B13" t="str">
        <x:v>ADA token sale proceeds</x:v>
      </x:c>
      <x:c r="C13" s="20" t="n">
        <x:v>62200000</x:v>
      </x:c>
      <x:c r="D13" t="str">
        <x:v>2017-01-01</x:v>
      </x:c>
      <x:c r="E13" t="str">
        <x:v>Partial</x:v>
      </x:c>
      <x:c r="F13" t="str">
        <x:v>ADA-ICO</x:v>
      </x:c>
      <x:c r="G13" s="44" t="str">
        <x:v>https://www.cardano.org/about-us/</x:v>
      </x:c>
      <x:c r="H13" s="46" t="str">
        <x:v>Approximate total; reconcile sale tranches and any company financing.</x:v>
      </x:c>
    </x:row>
    <x:row r="14">
      <x:c r="A14" t="str">
        <x:v>chainlink</x:v>
      </x:c>
      <x:c r="B14" t="str">
        <x:v>LINK token sale proceeds</x:v>
      </x:c>
      <x:c r="C14" s="20" t="n">
        <x:v>32000000</x:v>
      </x:c>
      <x:c r="D14" t="str">
        <x:v>2017-09-19</x:v>
      </x:c>
      <x:c r="E14" t="str">
        <x:v>Partial</x:v>
      </x:c>
      <x:c r="F14" t="str">
        <x:v>LINK-ICO</x:v>
      </x:c>
      <x:c r="G14" s="44" t="str">
        <x:v>https://chain.link/whitepaper</x:v>
      </x:c>
      <x:c r="H14" s="46" t="str">
        <x:v>Reconcile any equity financing.</x:v>
      </x:c>
    </x:row>
    <x:row r="15">
      <x:c r="A15" t="str">
        <x:v>stellar</x:v>
      </x:c>
      <x:c r="B15" t="str">
        <x:v>Stripe seed contribution</x:v>
      </x:c>
      <x:c r="C15" s="20" t="n">
        <x:v>3000000</x:v>
      </x:c>
      <x:c r="D15" t="str">
        <x:v>2014-01-01</x:v>
      </x:c>
      <x:c r="E15" t="str">
        <x:v>Partial</x:v>
      </x:c>
      <x:c r="F15" t="str">
        <x:v>XLM-STRIPE</x:v>
      </x:c>
      <x:c r="G15" s="44" t="str">
        <x:v>https://stripe.com/blog/stellar</x:v>
      </x:c>
      <x:c r="H15" s="46" t="str">
        <x:v>Reconcile donations and any additional primary financing.</x:v>
      </x:c>
    </x:row>
    <x:row r="16">
      <x:c r="A16" t="str">
        <x:v>litecoin</x:v>
      </x:c>
      <x:c r="B16" t="str">
        <x:v>Outside capital</x:v>
      </x:c>
      <x:c r="C16" s="20" t="n">
        <x:v>0</x:v>
      </x:c>
      <x:c r="D16" t="str">
        <x:v>2011-10-13</x:v>
      </x:c>
      <x:c r="E16" t="str">
        <x:v>Complete</x:v>
      </x:c>
      <x:c r="F16" t="str">
        <x:v>LTC-FAIR-LAUNCH</x:v>
      </x:c>
      <x:c r="G16" s="44" t="str">
        <x:v>https://litecoin.org/</x:v>
      </x:c>
      <x:c r="H16" s="46" t="str">
        <x:v>Fair launch; no team token sale identified.</x:v>
      </x:c>
    </x:row>
    <x:row r="17">
      <x:c r="A17" t="str">
        <x:v>hedera</x:v>
      </x:c>
      <x:c r="B17" t="str">
        <x:v>SAFT/token-sale proceeds</x:v>
      </x:c>
      <x:c r="C17" s="20" t="n">
        <x:v>124000000</x:v>
      </x:c>
      <x:c r="D17" t="str">
        <x:v>2018-08-01</x:v>
      </x:c>
      <x:c r="E17" t="str">
        <x:v>Partial</x:v>
      </x:c>
      <x:c r="F17" t="str">
        <x:v>HBAR-SALES</x:v>
      </x:c>
      <x:c r="G17" s="44" t="str">
        <x:v>https://hedera.com/treasury-management-report</x:v>
      </x:c>
      <x:c r="H17" s="46" t="str">
        <x:v>Approximate; reconcile all sale tranches and equity financing.</x:v>
      </x:c>
    </x:row>
    <x:row r="18">
      <x:c r="A18" t="str">
        <x:v>sui</x:v>
      </x:c>
      <x:c r="B18" t="str">
        <x:v>Mysten Labs Series B</x:v>
      </x:c>
      <x:c r="C18" s="20" t="n">
        <x:v>300000000</x:v>
      </x:c>
      <x:c r="D18" t="str">
        <x:v>2022-09-08</x:v>
      </x:c>
      <x:c r="E18" t="str">
        <x:v>Partial</x:v>
      </x:c>
      <x:c r="F18" t="str">
        <x:v>SUI-SERIES-B</x:v>
      </x:c>
      <x:c r="G18" s="44" t="str">
        <x:v>https://forums.sui.io/t/looking-back-sui-in-q3-2022/466</x:v>
      </x:c>
      <x:c r="H18" s="46" t="str">
        <x:v>Add Series A and other primary financing.</x:v>
      </x:c>
    </x:row>
    <x:row r="19">
      <x:c r="A19" t="str">
        <x:v>avalanche</x:v>
      </x:c>
      <x:c r="B19" t="str">
        <x:v>Private token sale</x:v>
      </x:c>
      <x:c r="C19" s="20" t="n">
        <x:v>230000000</x:v>
      </x:c>
      <x:c r="D19" t="str">
        <x:v>2021-09-16</x:v>
      </x:c>
      <x:c r="E19" t="str">
        <x:v>Partial</x:v>
      </x:c>
      <x:c r="F19" t="str">
        <x:v>AVAX-2021-SALE</x:v>
      </x:c>
      <x:c r="G19" s="44" t="str">
        <x:v>https://www.avax.network/about/blog/polychain-and-three-arrows-capital-lead-230m-investment-in-avalanche</x:v>
      </x:c>
      <x:c r="H19" s="46" t="str">
        <x:v>Add seed, earlier private sale, and public token sale.</x:v>
      </x:c>
    </x:row>
    <x:row r="20">
      <x:c r="A20" t="str">
        <x:v>uniswap</x:v>
      </x:c>
      <x:c r="B20" t="str">
        <x:v>Uniswap Labs Series B</x:v>
      </x:c>
      <x:c r="C20" s="20" t="n">
        <x:v>165000000</x:v>
      </x:c>
      <x:c r="D20" t="str">
        <x:v>2022-10-13</x:v>
      </x:c>
      <x:c r="E20" t="str">
        <x:v>Partial</x:v>
      </x:c>
      <x:c r="F20" t="str">
        <x:v>UNI-SERIES-B</x:v>
      </x:c>
      <x:c r="G20" s="44" t="str">
        <x:v>https://blog.uniswap.org/uniswap-labs-series-b</x:v>
      </x:c>
      <x:c r="H20" s="46" t="str">
        <x:v>Add seed and Series A.</x:v>
      </x:c>
    </x:row>
    <x:row r="21">
      <x:c r="A21" t="str">
        <x:v>near</x:v>
      </x:c>
      <x:c r="B21" t="str">
        <x:v>Financing round</x:v>
      </x:c>
      <x:c r="C21" s="20" t="n">
        <x:v>150000000</x:v>
      </x:c>
      <x:c r="D21" t="str">
        <x:v>2022-01-13</x:v>
      </x:c>
      <x:c r="E21" t="str">
        <x:v>Partial</x:v>
      </x:c>
      <x:c r="F21" t="str">
        <x:v>NEAR-2022-ROUND</x:v>
      </x:c>
      <x:c r="G21" s="44" t="str">
        <x:v>https://near.org/blog/near-raises-150m-to-accelerate-mass-adoption-of-web3-technologies</x:v>
      </x:c>
      <x:c r="H21" s="46" t="str">
        <x:v>Add earlier rounds and token sale proceeds.</x:v>
      </x:c>
    </x:row>
    <x:row r="22">
      <x:c r="A22" t="str">
        <x:v>ondo</x:v>
      </x:c>
      <x:c r="B22" t="str">
        <x:v>Series A</x:v>
      </x:c>
      <x:c r="C22" s="20" t="n">
        <x:v>20000000</x:v>
      </x:c>
      <x:c r="D22" t="str">
        <x:v>2022-04-27</x:v>
      </x:c>
      <x:c r="E22" t="str">
        <x:v>Partial</x:v>
      </x:c>
      <x:c r="F22" t="str">
        <x:v>ONDO-SERIES-A</x:v>
      </x:c>
      <x:c r="G22" s="44" t="str">
        <x:v>https://www.coindesk.com/business/2022/04/27/defi-protocol-ondo-finance-raises-20m-in-series-a-round/</x:v>
      </x:c>
      <x:c r="H22" s="46" t="str">
        <x:v>Add seed and token-sale proceeds.</x:v>
      </x:c>
    </x:row>
    <x:row r="23">
      <x:c r="A23" t="str">
        <x:v>polkadot</x:v>
      </x:c>
      <x:c r="B23" t="str">
        <x:v>DOT token sale proceeds</x:v>
      </x:c>
      <x:c r="C23" s="20" t="n">
        <x:v>144000000</x:v>
      </x:c>
      <x:c r="D23" t="str">
        <x:v>2017-10-17</x:v>
      </x:c>
      <x:c r="E23" t="str">
        <x:v>Partial</x:v>
      </x:c>
      <x:c r="F23" t="str">
        <x:v>DOT-ICO</x:v>
      </x:c>
      <x:c r="G23" s="44" t="str">
        <x:v>https://polkadot.com/blog/polkadot-network-launch</x:v>
      </x:c>
      <x:c r="H23" s="46" t="str">
        <x:v>Add later token sales and external financing.</x:v>
      </x:c>
    </x:row>
    <x:row r="24">
      <x:c r="A24" t="str">
        <x:v>internet-computer</x:v>
      </x:c>
      <x:c r="B24" t="str">
        <x:v>DFINITY funding</x:v>
      </x:c>
      <x:c r="C24" s="20" t="n">
        <x:v>195000000</x:v>
      </x:c>
      <x:c r="D24" t="str">
        <x:v>2018-08-29</x:v>
      </x:c>
      <x:c r="E24" t="str">
        <x:v>Partial</x:v>
      </x:c>
      <x:c r="F24" t="str">
        <x:v>ICP-FUNDING</x:v>
      </x:c>
      <x:c r="G24" s="44" t="str">
        <x:v>https://dfinity.org/foundation</x:v>
      </x:c>
      <x:c r="H24" s="46" t="str">
        <x:v>Approximate cumulative amount; reconcile each primary round.</x:v>
      </x:c>
    </x:row>
  </x:sheetData>
  <x:mergeCells>
    <x:mergeCell ref="A1:H1"/>
    <x:mergeCell ref="A2:H2"/>
  </x:mergeCells>
  <x:conditionalFormatting sqref="E5:E24">
    <x:cfRule type="containsText" dxfId="19" priority="1" operator="containsText" text="Complete"/>
    <x:cfRule type="containsText" dxfId="20" priority="2" operator="containsText" text="Partial"/>
  </x:conditionalFormatting>
  <x:pageMargins left="0.7" right="0.7" top="0.75" bottom="0.75" header="0.3" footer="0.3"/>
  <x:tableParts count="1">
    <x:tablePart xmlns:r="http://schemas.openxmlformats.org/officeDocument/2006/relationships" r:id="R0c71f830f1424e9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38" hidden="0" customWidth="1"/>
    <x:col min="4" max="4" width="18" hidden="0" customWidth="1"/>
    <x:col min="5" max="5" width="58" hidden="0" customWidth="1"/>
    <x:col min="6" max="6" width="28" hidden="0" customWidth="1"/>
    <x:col min="7" max="7" width="50" hidden="0" customWidth="1"/>
  </x:cols>
  <x:sheetData>
    <x:row r="1" ht="32" customHeight="1">
      <x:c r="A1" s="4" t="str">
        <x:v>Source catalog</x:v>
      </x:c>
      <x:c r="B1" s="4"/>
      <x:c r="C1" s="4"/>
      <x:c r="D1" s="4"/>
      <x:c r="E1" s="4"/>
      <x:c r="F1" s="4"/>
      <x:c r="G1" s="4"/>
    </x:row>
    <x:row r="2" ht="30" customHeight="1">
      <x:c r="A2" s="8" t="str">
        <x:v>Plain URLs are intentionally retained for auditability and machine ingestion. Market values must be refreshed before publication.</x:v>
      </x:c>
      <x:c r="B2" s="8"/>
      <x:c r="C2" s="8"/>
      <x:c r="D2" s="8"/>
      <x:c r="E2" s="8"/>
      <x:c r="F2" s="8"/>
      <x:c r="G2" s="8"/>
    </x:row>
    <x:row r="4" ht="34" customHeight="1">
      <x:c r="A4" s="16" t="str">
        <x:v>Source ID</x:v>
      </x:c>
      <x:c r="B4" s="17" t="str">
        <x:v>Category</x:v>
      </x:c>
      <x:c r="C4" s="17" t="str">
        <x:v>Source name</x:v>
      </x:c>
      <x:c r="D4" s="17" t="str">
        <x:v>As-of / publication date</x:v>
      </x:c>
      <x:c r="E4" s="17" t="str">
        <x:v>URL</x:v>
      </x:c>
      <x:c r="F4" s="17" t="str">
        <x:v>Quality</x:v>
      </x:c>
      <x:c r="G4" s="18" t="str">
        <x:v>Notes</x:v>
      </x:c>
    </x:row>
    <x:row r="5">
      <x:c r="A5" t="str">
        <x:v>PW-METHOD</x:v>
      </x:c>
      <x:c r="B5" t="str">
        <x:v>Methodology</x:v>
      </x:c>
      <x:c r="C5" s="46" t="str">
        <x:v>Pirate Wires — The Bezos List</x:v>
      </x:c>
      <x:c r="D5" s="46" t="str">
        <x:v>2024-06-01</x:v>
      </x:c>
      <x:c r="E5" s="47" t="str">
        <x:v>https://www.piratewires.com/p/the-bezos-list-the-top-20-founders</x:v>
      </x:c>
      <x:c r="F5" s="46" t="str">
        <x:v>Secondary / methodology reference</x:v>
      </x:c>
      <x:c r="G5" s="46" t="str">
        <x:v>Reference formula: market value minus founder stake minus outside equity capital.</x:v>
      </x:c>
    </x:row>
    <x:row r="6">
      <x:c r="A6" t="str">
        <x:v>CG-BTC</x:v>
      </x:c>
      <x:c r="B6" t="str">
        <x:v>Market value</x:v>
      </x:c>
      <x:c r="C6" s="46" t="str">
        <x:v>CoinGecko — Bitcoin</x:v>
      </x:c>
      <x:c r="D6" s="46" t="str">
        <x:v>2026-07-30</x:v>
      </x:c>
      <x:c r="E6" s="47" t="str">
        <x:v>https://www.coingecko.com/en/coins/bitcoin</x:v>
      </x:c>
      <x:c r="F6" s="46" t="str">
        <x:v>Market-data aggregator</x:v>
      </x:c>
      <x:c r="G6" s="46" t="str">
        <x:v>Circulating market-cap snapshot; refresh before publication.</x:v>
      </x:c>
    </x:row>
    <x:row r="7">
      <x:c r="A7" t="str">
        <x:v>CG-ETH</x:v>
      </x:c>
      <x:c r="B7" t="str">
        <x:v>Market value</x:v>
      </x:c>
      <x:c r="C7" s="46" t="str">
        <x:v>CoinGecko — Ethereum</x:v>
      </x:c>
      <x:c r="D7" s="46" t="str">
        <x:v>2026-07-30</x:v>
      </x:c>
      <x:c r="E7" s="47" t="str">
        <x:v>https://www.coingecko.com/en/coins/ethereum</x:v>
      </x:c>
      <x:c r="F7" s="46" t="str">
        <x:v>Market-data aggregator</x:v>
      </x:c>
      <x:c r="G7" s="46" t="str">
        <x:v>Circulating market-cap snapshot; refresh before publication.</x:v>
      </x:c>
    </x:row>
    <x:row r="8">
      <x:c r="A8" t="str">
        <x:v>CG-BNB</x:v>
      </x:c>
      <x:c r="B8" t="str">
        <x:v>Market value</x:v>
      </x:c>
      <x:c r="C8" s="46" t="str">
        <x:v>CoinGecko — BNB</x:v>
      </x:c>
      <x:c r="D8" s="46" t="str">
        <x:v>2026-07-30</x:v>
      </x:c>
      <x:c r="E8" s="47" t="str">
        <x:v>https://www.coingecko.com/en/coins/binancecoin</x:v>
      </x:c>
      <x:c r="F8" s="46" t="str">
        <x:v>Market-data aggregator</x:v>
      </x:c>
      <x:c r="G8" s="46" t="str">
        <x:v>Circulating market-cap snapshot; refresh before publication.</x:v>
      </x:c>
    </x:row>
    <x:row r="9">
      <x:c r="A9" t="str">
        <x:v>CG-XRP</x:v>
      </x:c>
      <x:c r="B9" t="str">
        <x:v>Market value</x:v>
      </x:c>
      <x:c r="C9" s="46" t="str">
        <x:v>CoinGecko — XRP</x:v>
      </x:c>
      <x:c r="D9" s="46" t="str">
        <x:v>2026-07-30</x:v>
      </x:c>
      <x:c r="E9" s="47" t="str">
        <x:v>https://www.coingecko.com/en/coins/ripple</x:v>
      </x:c>
      <x:c r="F9" s="46" t="str">
        <x:v>Market-data aggregator</x:v>
      </x:c>
      <x:c r="G9" s="46" t="str">
        <x:v>Circulating market-cap snapshot; refresh before publication.</x:v>
      </x:c>
    </x:row>
    <x:row r="10">
      <x:c r="A10" t="str">
        <x:v>CG-SOL</x:v>
      </x:c>
      <x:c r="B10" t="str">
        <x:v>Market value</x:v>
      </x:c>
      <x:c r="C10" s="46" t="str">
        <x:v>CoinGecko — Solana</x:v>
      </x:c>
      <x:c r="D10" s="46" t="str">
        <x:v>2026-07-30</x:v>
      </x:c>
      <x:c r="E10" s="47" t="str">
        <x:v>https://www.coingecko.com/en/coins/solana</x:v>
      </x:c>
      <x:c r="F10" s="46" t="str">
        <x:v>Market-data aggregator</x:v>
      </x:c>
      <x:c r="G10" s="46" t="str">
        <x:v>Circulating market-cap snapshot; refresh before publication.</x:v>
      </x:c>
    </x:row>
    <x:row r="11">
      <x:c r="A11" t="str">
        <x:v>CG-TRX</x:v>
      </x:c>
      <x:c r="B11" t="str">
        <x:v>Market value</x:v>
      </x:c>
      <x:c r="C11" s="46" t="str">
        <x:v>CoinGecko — TRON</x:v>
      </x:c>
      <x:c r="D11" s="46" t="str">
        <x:v>2026-07-30</x:v>
      </x:c>
      <x:c r="E11" s="47" t="str">
        <x:v>https://www.coingecko.com/en/coins/tron</x:v>
      </x:c>
      <x:c r="F11" s="46" t="str">
        <x:v>Market-data aggregator</x:v>
      </x:c>
      <x:c r="G11" s="46" t="str">
        <x:v>Circulating market-cap snapshot; refresh before publication.</x:v>
      </x:c>
    </x:row>
    <x:row r="12">
      <x:c r="A12" t="str">
        <x:v>CG-HYPE</x:v>
      </x:c>
      <x:c r="B12" t="str">
        <x:v>Market value</x:v>
      </x:c>
      <x:c r="C12" s="46" t="str">
        <x:v>CoinGecko — Hyperliquid</x:v>
      </x:c>
      <x:c r="D12" s="46" t="str">
        <x:v>2026-07-30</x:v>
      </x:c>
      <x:c r="E12" s="47" t="str">
        <x:v>https://www.coingecko.com/en/coins/hyperliquid</x:v>
      </x:c>
      <x:c r="F12" s="46" t="str">
        <x:v>Market-data aggregator</x:v>
      </x:c>
      <x:c r="G12" s="46" t="str">
        <x:v>Circulating market-cap snapshot; refresh before publication.</x:v>
      </x:c>
    </x:row>
    <x:row r="13">
      <x:c r="A13" t="str">
        <x:v>CG-DOGE</x:v>
      </x:c>
      <x:c r="B13" t="str">
        <x:v>Market value</x:v>
      </x:c>
      <x:c r="C13" s="46" t="str">
        <x:v>CoinGecko — Dogecoin</x:v>
      </x:c>
      <x:c r="D13" s="46" t="str">
        <x:v>2026-07-30</x:v>
      </x:c>
      <x:c r="E13" s="47" t="str">
        <x:v>https://www.coingecko.com/en/coins/dogecoin</x:v>
      </x:c>
      <x:c r="F13" s="46" t="str">
        <x:v>Market-data aggregator</x:v>
      </x:c>
      <x:c r="G13" s="46" t="str">
        <x:v>Circulating market-cap snapshot; refresh before publication.</x:v>
      </x:c>
    </x:row>
    <x:row r="14">
      <x:c r="A14" t="str">
        <x:v>CG-ADA</x:v>
      </x:c>
      <x:c r="B14" t="str">
        <x:v>Market value</x:v>
      </x:c>
      <x:c r="C14" s="46" t="str">
        <x:v>CoinGecko — Cardano</x:v>
      </x:c>
      <x:c r="D14" s="46" t="str">
        <x:v>2026-07-30</x:v>
      </x:c>
      <x:c r="E14" s="47" t="str">
        <x:v>https://www.coingecko.com/en/coins/cardano</x:v>
      </x:c>
      <x:c r="F14" s="46" t="str">
        <x:v>Market-data aggregator</x:v>
      </x:c>
      <x:c r="G14" s="46" t="str">
        <x:v>Circulating market-cap snapshot; refresh before publication.</x:v>
      </x:c>
    </x:row>
    <x:row r="15">
      <x:c r="A15" t="str">
        <x:v>CG-LINK</x:v>
      </x:c>
      <x:c r="B15" t="str">
        <x:v>Market value</x:v>
      </x:c>
      <x:c r="C15" s="46" t="str">
        <x:v>CoinGecko — Chainlink</x:v>
      </x:c>
      <x:c r="D15" s="46" t="str">
        <x:v>2026-07-30</x:v>
      </x:c>
      <x:c r="E15" s="47" t="str">
        <x:v>https://www.coingecko.com/en/coins/chainlink</x:v>
      </x:c>
      <x:c r="F15" s="46" t="str">
        <x:v>Market-data aggregator</x:v>
      </x:c>
      <x:c r="G15" s="46" t="str">
        <x:v>Circulating market-cap snapshot; refresh before publication.</x:v>
      </x:c>
    </x:row>
    <x:row r="16">
      <x:c r="A16" t="str">
        <x:v>CG-XLM</x:v>
      </x:c>
      <x:c r="B16" t="str">
        <x:v>Market value</x:v>
      </x:c>
      <x:c r="C16" s="46" t="str">
        <x:v>CoinGecko — Stellar</x:v>
      </x:c>
      <x:c r="D16" s="46" t="str">
        <x:v>2026-07-30</x:v>
      </x:c>
      <x:c r="E16" s="47" t="str">
        <x:v>https://www.coingecko.com/en/coins/stellar</x:v>
      </x:c>
      <x:c r="F16" s="46" t="str">
        <x:v>Market-data aggregator</x:v>
      </x:c>
      <x:c r="G16" s="46" t="str">
        <x:v>Circulating market-cap snapshot; refresh before publication.</x:v>
      </x:c>
    </x:row>
    <x:row r="17">
      <x:c r="A17" t="str">
        <x:v>CG-CANTON</x:v>
      </x:c>
      <x:c r="B17" t="str">
        <x:v>Market value</x:v>
      </x:c>
      <x:c r="C17" s="46" t="str">
        <x:v>CoinGecko — Canton</x:v>
      </x:c>
      <x:c r="D17" s="46" t="str">
        <x:v>2026-07-30</x:v>
      </x:c>
      <x:c r="E17" s="47" t="str">
        <x:v>https://www.coingecko.com/en/coins/canton-network</x:v>
      </x:c>
      <x:c r="F17" s="46" t="str">
        <x:v>Market-data aggregator</x:v>
      </x:c>
      <x:c r="G17" s="46" t="str">
        <x:v>Circulating market-cap snapshot; refresh before publication.</x:v>
      </x:c>
    </x:row>
    <x:row r="18">
      <x:c r="A18" t="str">
        <x:v>CG-LTC</x:v>
      </x:c>
      <x:c r="B18" t="str">
        <x:v>Market value</x:v>
      </x:c>
      <x:c r="C18" s="46" t="str">
        <x:v>CoinGecko — Litecoin</x:v>
      </x:c>
      <x:c r="D18" s="46" t="str">
        <x:v>2026-07-30</x:v>
      </x:c>
      <x:c r="E18" s="47" t="str">
        <x:v>https://www.coingecko.com/en/coins/litecoin</x:v>
      </x:c>
      <x:c r="F18" s="46" t="str">
        <x:v>Market-data aggregator</x:v>
      </x:c>
      <x:c r="G18" s="46" t="str">
        <x:v>Circulating market-cap snapshot; refresh before publication.</x:v>
      </x:c>
    </x:row>
    <x:row r="19">
      <x:c r="A19" t="str">
        <x:v>CG-HBAR</x:v>
      </x:c>
      <x:c r="B19" t="str">
        <x:v>Market value</x:v>
      </x:c>
      <x:c r="C19" s="46" t="str">
        <x:v>CoinGecko — Hedera</x:v>
      </x:c>
      <x:c r="D19" s="46" t="str">
        <x:v>2026-07-30</x:v>
      </x:c>
      <x:c r="E19" s="47" t="str">
        <x:v>https://www.coingecko.com/en/coins/hedera-hashgraph</x:v>
      </x:c>
      <x:c r="F19" s="46" t="str">
        <x:v>Market-data aggregator</x:v>
      </x:c>
      <x:c r="G19" s="46" t="str">
        <x:v>Circulating market-cap snapshot; refresh before publication.</x:v>
      </x:c>
    </x:row>
    <x:row r="20">
      <x:c r="A20" t="str">
        <x:v>CG-SUI</x:v>
      </x:c>
      <x:c r="B20" t="str">
        <x:v>Market value</x:v>
      </x:c>
      <x:c r="C20" s="46" t="str">
        <x:v>CoinGecko — Sui</x:v>
      </x:c>
      <x:c r="D20" s="46" t="str">
        <x:v>2026-07-30</x:v>
      </x:c>
      <x:c r="E20" s="47" t="str">
        <x:v>https://www.coingecko.com/en/coins/sui</x:v>
      </x:c>
      <x:c r="F20" s="46" t="str">
        <x:v>Market-data aggregator</x:v>
      </x:c>
      <x:c r="G20" s="46" t="str">
        <x:v>Circulating market-cap snapshot; refresh before publication.</x:v>
      </x:c>
    </x:row>
    <x:row r="21">
      <x:c r="A21" t="str">
        <x:v>CG-AVAX</x:v>
      </x:c>
      <x:c r="B21" t="str">
        <x:v>Market value</x:v>
      </x:c>
      <x:c r="C21" s="46" t="str">
        <x:v>CoinGecko — Avalanche</x:v>
      </x:c>
      <x:c r="D21" s="46" t="str">
        <x:v>2026-07-30</x:v>
      </x:c>
      <x:c r="E21" s="47" t="str">
        <x:v>https://www.coingecko.com/en/coins/avalanche-2</x:v>
      </x:c>
      <x:c r="F21" s="46" t="str">
        <x:v>Market-data aggregator</x:v>
      </x:c>
      <x:c r="G21" s="46" t="str">
        <x:v>Circulating market-cap snapshot; refresh before publication.</x:v>
      </x:c>
    </x:row>
    <x:row r="22">
      <x:c r="A22" t="str">
        <x:v>CG-UNI</x:v>
      </x:c>
      <x:c r="B22" t="str">
        <x:v>Market value</x:v>
      </x:c>
      <x:c r="C22" s="46" t="str">
        <x:v>CoinGecko — Uniswap</x:v>
      </x:c>
      <x:c r="D22" s="46" t="str">
        <x:v>2026-07-30</x:v>
      </x:c>
      <x:c r="E22" s="47" t="str">
        <x:v>https://www.coingecko.com/en/coins/uniswap</x:v>
      </x:c>
      <x:c r="F22" s="46" t="str">
        <x:v>Market-data aggregator</x:v>
      </x:c>
      <x:c r="G22" s="46" t="str">
        <x:v>Circulating market-cap snapshot; refresh before publication.</x:v>
      </x:c>
    </x:row>
    <x:row r="23">
      <x:c r="A23" t="str">
        <x:v>CG-NEAR</x:v>
      </x:c>
      <x:c r="B23" t="str">
        <x:v>Market value</x:v>
      </x:c>
      <x:c r="C23" s="46" t="str">
        <x:v>CoinGecko — NEAR</x:v>
      </x:c>
      <x:c r="D23" s="46" t="str">
        <x:v>2026-07-30</x:v>
      </x:c>
      <x:c r="E23" s="47" t="str">
        <x:v>https://www.coingecko.com/en/coins/near</x:v>
      </x:c>
      <x:c r="F23" s="46" t="str">
        <x:v>Market-data aggregator</x:v>
      </x:c>
      <x:c r="G23" s="46" t="str">
        <x:v>Circulating market-cap snapshot; refresh before publication.</x:v>
      </x:c>
    </x:row>
    <x:row r="24">
      <x:c r="A24" t="str">
        <x:v>CG-ONDO</x:v>
      </x:c>
      <x:c r="B24" t="str">
        <x:v>Market value</x:v>
      </x:c>
      <x:c r="C24" s="46" t="str">
        <x:v>CoinGecko — Ondo</x:v>
      </x:c>
      <x:c r="D24" s="46" t="str">
        <x:v>2026-07-30</x:v>
      </x:c>
      <x:c r="E24" s="47" t="str">
        <x:v>https://www.coingecko.com/en/coins/ondo-finance</x:v>
      </x:c>
      <x:c r="F24" s="46" t="str">
        <x:v>Market-data aggregator</x:v>
      </x:c>
      <x:c r="G24" s="46" t="str">
        <x:v>Circulating market-cap snapshot; refresh before publication.</x:v>
      </x:c>
    </x:row>
    <x:row r="25">
      <x:c r="A25" t="str">
        <x:v>CG-TAO</x:v>
      </x:c>
      <x:c r="B25" t="str">
        <x:v>Market value</x:v>
      </x:c>
      <x:c r="C25" s="46" t="str">
        <x:v>CoinGecko — Bittensor</x:v>
      </x:c>
      <x:c r="D25" s="46" t="str">
        <x:v>2026-07-30</x:v>
      </x:c>
      <x:c r="E25" s="47" t="str">
        <x:v>https://www.coingecko.com/en/coins/bittensor</x:v>
      </x:c>
      <x:c r="F25" s="46" t="str">
        <x:v>Market-data aggregator</x:v>
      </x:c>
      <x:c r="G25" s="46" t="str">
        <x:v>Circulating market-cap snapshot; refresh before publication.</x:v>
      </x:c>
    </x:row>
    <x:row r="26">
      <x:c r="A26" t="str">
        <x:v>CG-AAVE</x:v>
      </x:c>
      <x:c r="B26" t="str">
        <x:v>Market value</x:v>
      </x:c>
      <x:c r="C26" s="46" t="str">
        <x:v>CoinGecko — Aave</x:v>
      </x:c>
      <x:c r="D26" s="46" t="str">
        <x:v>2026-07-30</x:v>
      </x:c>
      <x:c r="E26" s="47" t="str">
        <x:v>https://www.coingecko.com/en/coins/aave</x:v>
      </x:c>
      <x:c r="F26" s="46" t="str">
        <x:v>Market-data aggregator</x:v>
      </x:c>
      <x:c r="G26" s="46" t="str">
        <x:v>Circulating market-cap snapshot; refresh before publication.</x:v>
      </x:c>
    </x:row>
    <x:row r="27">
      <x:c r="A27" t="str">
        <x:v>CG-SKY</x:v>
      </x:c>
      <x:c r="B27" t="str">
        <x:v>Market value</x:v>
      </x:c>
      <x:c r="C27" s="46" t="str">
        <x:v>CoinGecko — Sky</x:v>
      </x:c>
      <x:c r="D27" s="46" t="str">
        <x:v>2026-07-30</x:v>
      </x:c>
      <x:c r="E27" s="47" t="str">
        <x:v>https://www.coingecko.com/en/coins/sky</x:v>
      </x:c>
      <x:c r="F27" s="46" t="str">
        <x:v>Market-data aggregator</x:v>
      </x:c>
      <x:c r="G27" s="46" t="str">
        <x:v>Circulating market-cap snapshot; refresh before publication.</x:v>
      </x:c>
    </x:row>
    <x:row r="28">
      <x:c r="A28" t="str">
        <x:v>CG-MORPHO</x:v>
      </x:c>
      <x:c r="B28" t="str">
        <x:v>Market value</x:v>
      </x:c>
      <x:c r="C28" s="46" t="str">
        <x:v>CoinGecko — Morpho</x:v>
      </x:c>
      <x:c r="D28" s="46" t="str">
        <x:v>2026-07-30</x:v>
      </x:c>
      <x:c r="E28" s="47" t="str">
        <x:v>https://www.coingecko.com/en/coins/morpho</x:v>
      </x:c>
      <x:c r="F28" s="46" t="str">
        <x:v>Market-data aggregator</x:v>
      </x:c>
      <x:c r="G28" s="46" t="str">
        <x:v>Circulating market-cap snapshot; refresh before publication.</x:v>
      </x:c>
    </x:row>
    <x:row r="29">
      <x:c r="A29" t="str">
        <x:v>CG-DOT</x:v>
      </x:c>
      <x:c r="B29" t="str">
        <x:v>Market value</x:v>
      </x:c>
      <x:c r="C29" s="46" t="str">
        <x:v>CoinGecko — Polkadot</x:v>
      </x:c>
      <x:c r="D29" s="46" t="str">
        <x:v>2026-07-30</x:v>
      </x:c>
      <x:c r="E29" s="47" t="str">
        <x:v>https://www.coingecko.com/en/coins/polkadot</x:v>
      </x:c>
      <x:c r="F29" s="46" t="str">
        <x:v>Market-data aggregator</x:v>
      </x:c>
      <x:c r="G29" s="46" t="str">
        <x:v>Circulating market-cap snapshot; refresh before publication.</x:v>
      </x:c>
    </x:row>
    <x:row r="30">
      <x:c r="A30" t="str">
        <x:v>CG-ICP</x:v>
      </x:c>
      <x:c r="B30" t="str">
        <x:v>Market value</x:v>
      </x:c>
      <x:c r="C30" s="46" t="str">
        <x:v>CoinGecko — Internet Computer</x:v>
      </x:c>
      <x:c r="D30" s="46" t="str">
        <x:v>2026-07-30</x:v>
      </x:c>
      <x:c r="E30" s="47" t="str">
        <x:v>https://www.coingecko.com/en/coins/internet-computer</x:v>
      </x:c>
      <x:c r="F30" s="46" t="str">
        <x:v>Market-data aggregator</x:v>
      </x:c>
      <x:c r="G30" s="46" t="str">
        <x:v>Circulating market-cap snapshot; refresh before publication.</x:v>
      </x:c>
    </x:row>
    <x:row r="31">
      <x:c r="A31" t="str">
        <x:v>COIN-MARKETCAP</x:v>
      </x:c>
      <x:c r="B31" t="str">
        <x:v>Market value</x:v>
      </x:c>
      <x:c r="C31" s="46" t="str">
        <x:v>COIN market capitalization snapshot</x:v>
      </x:c>
      <x:c r="D31" s="46" t="str">
        <x:v>2026-07-30</x:v>
      </x:c>
      <x:c r="E31" s="47" t="str">
        <x:v>https://finance.yahoo.com/quote/COIN/</x:v>
      </x:c>
      <x:c r="F31" s="46" t="str">
        <x:v>Market-data reference</x:v>
      </x:c>
      <x:c r="G31" s="46" t="str">
        <x:v>Refresh with current price and shares; this workbook snapshot uses $42,599,649,750.</x:v>
      </x:c>
    </x:row>
    <x:row r="32">
      <x:c r="A32" t="str">
        <x:v>COIN-PROXY-2026</x:v>
      </x:c>
      <x:c r="B32" t="str">
        <x:v>Founder ownership</x:v>
      </x:c>
      <x:c r="C32" s="46" t="str">
        <x:v>Coinbase 2026 proxy statement</x:v>
      </x:c>
      <x:c r="D32" s="46" t="str">
        <x:v>2026-03-31</x:v>
      </x:c>
      <x:c r="E32" s="47" t="str">
        <x:v>https://www.sec.gov/Archives/edgar/data/1679788/000167978826000045/coin-20260424.htm</x:v>
      </x:c>
      <x:c r="F32" s="46" t="str">
        <x:v>Primary / SEC filing</x:v>
      </x:c>
      <x:c r="G32" s="46" t="str">
        <x:v>Brian Armstrong and Fred Ehrsam share ownership. Workbook values founder shares at the same snapshot equity price.</x:v>
      </x:c>
    </x:row>
    <x:row r="33">
      <x:c r="A33" t="str">
        <x:v>COIN-FUNDING</x:v>
      </x:c>
      <x:c r="B33" t="str">
        <x:v>Capital</x:v>
      </x:c>
      <x:c r="C33" s="46" t="str">
        <x:v>Crunchbase News — Coinbase direct listing</x:v>
      </x:c>
      <x:c r="D33" s="46" t="str">
        <x:v>2021-04-14</x:v>
      </x:c>
      <x:c r="E33" s="47" t="str">
        <x:v>https://news.crunchbase.com/fintech-ecommerce/coinbase-chooses-direct-listing/</x:v>
      </x:c>
      <x:c r="F33" s="46" t="str">
        <x:v>Secondary</x:v>
      </x:c>
      <x:c r="G33" s="46" t="str">
        <x:v>Reports $547.3M known venture funding; reconciliation required.</x:v>
      </x:c>
    </x:row>
    <x:row r="34">
      <x:c r="A34" t="str">
        <x:v>COIN-BRIAN-WALLET</x:v>
      </x:c>
      <x:c r="B34" t="str">
        <x:v>Wallet attribution</x:v>
      </x:c>
      <x:c r="C34" s="46" t="str">
        <x:v>barmstrong.eth / Etherscan</x:v>
      </x:c>
      <x:c r="D34" s="46" t="str"/>
      <x:c r="E34" s="47" t="str">
        <x:v>https://etherscan.io/address/0x5b76f5b8fc9d700624f78208132f91ad4e61a1f0</x:v>
      </x:c>
      <x:c r="F34" s="46" t="str">
        <x:v>Explorer + public profile</x:v>
      </x:c>
      <x:c r="G34" s="46" t="str">
        <x:v>Supplementary; not used for COIN equity exclusion.</x:v>
      </x:c>
    </x:row>
    <x:row r="35">
      <x:c r="A35" t="str">
        <x:v>ARK-SATOSHI</x:v>
      </x:c>
      <x:c r="B35" t="str">
        <x:v>Founder holdings</x:v>
      </x:c>
      <x:c r="C35" s="46" t="str">
        <x:v>Arkham — Satoshi Nakamoto entity/research</x:v>
      </x:c>
      <x:c r="D35" s="46" t="str">
        <x:v>2026-01-01</x:v>
      </x:c>
      <x:c r="E35" s="47" t="str">
        <x:v>https://info.arkm.com/research/the-10-richest-crypto-holders-individuals-2026</x:v>
      </x:c>
      <x:c r="F35" s="46" t="str">
        <x:v>Researcher attribution</x:v>
      </x:c>
      <x:c r="G35" s="46" t="str">
        <x:v>Cluster estimate, approximately 22,000 addresses; reprice on snapshot date.</x:v>
      </x:c>
    </x:row>
    <x:row r="36">
      <x:c r="A36" t="str">
        <x:v>ARK-VITALIK</x:v>
      </x:c>
      <x:c r="B36" t="str">
        <x:v>Founder holdings</x:v>
      </x:c>
      <x:c r="C36" s="46" t="str">
        <x:v>Arkham — Vitalik Buterin net worth</x:v>
      </x:c>
      <x:c r="D36" s="46" t="str"/>
      <x:c r="E36" s="47" t="str">
        <x:v>https://info.arkm.com/research/vitalik-buterin-net-worth</x:v>
      </x:c>
      <x:c r="F36" s="46" t="str">
        <x:v>Researcher attribution</x:v>
      </x:c>
      <x:c r="G36" s="46" t="str">
        <x:v>Use as discovery; verify addresses on explorer.</x:v>
      </x:c>
    </x:row>
    <x:row r="37">
      <x:c r="A37" t="str">
        <x:v>ETH-VITALIK-1</x:v>
      </x:c>
      <x:c r="B37" t="str">
        <x:v>Wallet attribution</x:v>
      </x:c>
      <x:c r="C37" s="46" t="str">
        <x:v>Etherscan — vitalik.eth</x:v>
      </x:c>
      <x:c r="D37" s="46" t="str"/>
      <x:c r="E37" s="47" t="str">
        <x:v>https://etherscan.io/address/0xd8dA6BF26964aF9D7eEd9e03E53415D37aA96045</x:v>
      </x:c>
      <x:c r="F37" s="46" t="str">
        <x:v>Explorer label</x:v>
      </x:c>
      <x:c r="G37" s="46" t="str">
        <x:v>High-confidence public address.</x:v>
      </x:c>
    </x:row>
    <x:row r="38">
      <x:c r="A38" t="str">
        <x:v>ETH-VITALIK-2</x:v>
      </x:c>
      <x:c r="B38" t="str">
        <x:v>Wallet attribution</x:v>
      </x:c>
      <x:c r="C38" s="46" t="str">
        <x:v>Etherscan — Vitalik historical wallet</x:v>
      </x:c>
      <x:c r="D38" s="46" t="str"/>
      <x:c r="E38" s="47" t="str">
        <x:v>https://etherscan.io/address/0xAb5801a7D398351b8bE11C439e05C5B3259aeC9B</x:v>
      </x:c>
      <x:c r="F38" s="46" t="str">
        <x:v>Explorer label</x:v>
      </x:c>
      <x:c r="G38" s="46" t="str">
        <x:v>Historical; deduplicate transfers.</x:v>
      </x:c>
    </x:row>
    <x:row r="39">
      <x:c r="A39" t="str">
        <x:v>CZ-WALLET</x:v>
      </x:c>
      <x:c r="B39" t="str">
        <x:v>Wallet attribution</x:v>
      </x:c>
      <x:c r="C39" s="46" t="str">
        <x:v>BscScan — CZ public-purpose wallet</x:v>
      </x:c>
      <x:c r="D39" s="46" t="str">
        <x:v>2025-02-18</x:v>
      </x:c>
      <x:c r="E39" s="47" t="str">
        <x:v>https://bscscan.com/address/0x28816c4c4792467390c90e5b426f198570e29307</x:v>
      </x:c>
      <x:c r="F39" s="46" t="str">
        <x:v>Self/public disclosure for this wallet</x:v>
      </x:c>
      <x:c r="G39" s="46" t="str">
        <x:v>Not evidence of total CZ holdings.</x:v>
      </x:c>
    </x:row>
    <x:row r="40">
      <x:c r="A40" t="str">
        <x:v>XRP-LARSEN</x:v>
      </x:c>
      <x:c r="B40" t="str">
        <x:v>Wallet attribution</x:v>
      </x:c>
      <x:c r="C40" s="46" t="str">
        <x:v>XRPScan — Chris Larsen-linked account</x:v>
      </x:c>
      <x:c r="D40" s="46" t="str"/>
      <x:c r="E40" s="47" t="str">
        <x:v>https://xrpscan.com/account/rhREXVHV938ToGkdJQ9NCYEY4x8kSEtjna</x:v>
      </x:c>
      <x:c r="F40" s="46" t="str">
        <x:v>Explorer + reporting</x:v>
      </x:c>
      <x:c r="G40" s="46" t="str">
        <x:v>Reconcile related accounts.</x:v>
      </x:c>
    </x:row>
    <x:row r="41">
      <x:c r="A41" t="str">
        <x:v>ARK-ANATOLY</x:v>
      </x:c>
      <x:c r="B41" t="str">
        <x:v>Wallet attribution</x:v>
      </x:c>
      <x:c r="C41" s="46" t="str">
        <x:v>Arkham — Anatoly Yakovenko research</x:v>
      </x:c>
      <x:c r="D41" s="46" t="str">
        <x:v>2026-01-01</x:v>
      </x:c>
      <x:c r="E41" s="47" t="str">
        <x:v>https://info.arkm.com/research/anatoly-yakovenko-net-worth-and-on-chain-holdings-in-2026</x:v>
      </x:c>
      <x:c r="F41" s="46" t="str">
        <x:v>Researcher; explicitly unconfirmed</x:v>
      </x:c>
      <x:c r="G41" s="46" t="str">
        <x:v>Low confidence; do not publish as confirmed.</x:v>
      </x:c>
    </x:row>
    <x:row r="42">
      <x:c r="A42" t="str">
        <x:v>ARK-JUSTIN</x:v>
      </x:c>
      <x:c r="B42" t="str">
        <x:v>Wallet attribution</x:v>
      </x:c>
      <x:c r="C42" s="46" t="str">
        <x:v>Arkham — Justin Sun entity</x:v>
      </x:c>
      <x:c r="D42" s="46" t="str"/>
      <x:c r="E42" s="47" t="str">
        <x:v>https://arkm.com/explorer/entity/justin-sun</x:v>
      </x:c>
      <x:c r="F42" s="46" t="str">
        <x:v>Researcher attribution</x:v>
      </x:c>
      <x:c r="G42" s="46" t="str">
        <x:v>Multi-chain entity; only count eligible project token.</x:v>
      </x:c>
    </x:row>
    <x:row r="43">
      <x:c r="A43" t="str">
        <x:v>UNI-HAYDEN</x:v>
      </x:c>
      <x:c r="B43" t="str">
        <x:v>Wallet attribution</x:v>
      </x:c>
      <x:c r="C43" s="46" t="str">
        <x:v>Hayden Adams self-disclosed wallet</x:v>
      </x:c>
      <x:c r="D43" s="46" t="str">
        <x:v>2024-02-13</x:v>
      </x:c>
      <x:c r="E43" s="47" t="str">
        <x:v>https://x.com/haydenzadams/status/1757634026511167984</x:v>
      </x:c>
      <x:c r="F43" s="46" t="str">
        <x:v>Primary / self-disclosure</x:v>
      </x:c>
      <x:c r="G43" s="46" t="str">
        <x:v>Reconfirm currentness.</x:v>
      </x:c>
    </x:row>
    <x:row r="44">
      <x:c r="A44" t="str">
        <x:v>AAVE-STANI</x:v>
      </x:c>
      <x:c r="B44" t="str">
        <x:v>Wallet attribution</x:v>
      </x:c>
      <x:c r="C44" s="46" t="str">
        <x:v>Etherscan — Stani-linked wallet</x:v>
      </x:c>
      <x:c r="D44" s="46" t="str"/>
      <x:c r="E44" s="47" t="str">
        <x:v>https://etherscan.io/address/0x2e21f5d32841cf8c7da805185a041400bf15f21a</x:v>
      </x:c>
      <x:c r="F44" s="46" t="str">
        <x:v>Explorer/researcher</x:v>
      </x:c>
      <x:c r="G44" s="46" t="str">
        <x:v>Verify ownership/currentness.</x:v>
      </x:c>
    </x:row>
    <x:row r="45">
      <x:c r="A45" t="str">
        <x:v>AAVE-STANI-SAFE</x:v>
      </x:c>
      <x:c r="B45" t="str">
        <x:v>Wallet attribution</x:v>
      </x:c>
      <x:c r="C45" s="46" t="str">
        <x:v>Etherscan — Stani-linked Safe</x:v>
      </x:c>
      <x:c r="D45" s="46" t="str"/>
      <x:c r="E45" s="47" t="str">
        <x:v>https://etherscan.io/address/0x47ca539b3f546078d97bd851130741c6bf370100</x:v>
      </x:c>
      <x:c r="F45" s="46" t="str">
        <x:v>Researcher attribution</x:v>
      </x:c>
      <x:c r="G45" s="46" t="str">
        <x:v>Verify Safe owners.</x:v>
      </x:c>
    </x:row>
    <x:row r="46">
      <x:c r="A46" t="str">
        <x:v>SOL-2021-SALE</x:v>
      </x:c>
      <x:c r="B46" t="str">
        <x:v>Capital</x:v>
      </x:c>
      <x:c r="C46" s="46" t="str">
        <x:v>Solana Labs $314.15M private token sale</x:v>
      </x:c>
      <x:c r="D46" s="46" t="str">
        <x:v>2021-06-09</x:v>
      </x:c>
      <x:c r="E46" s="47" t="str">
        <x:v>https://solana.com/news/solana-labs-completes-a-314-15m-private-token-sale-led-by-andreessen-horowitz-and-polychain-capital</x:v>
      </x:c>
      <x:c r="F46" s="46" t="str">
        <x:v>Primary / company announcement</x:v>
      </x:c>
      <x:c r="G46" s="46" t="str">
        <x:v>Verified round only.</x:v>
      </x:c>
    </x:row>
    <x:row r="47">
      <x:c r="A47" t="str">
        <x:v>SUI-SERIES-B</x:v>
      </x:c>
      <x:c r="B47" t="str">
        <x:v>Capital</x:v>
      </x:c>
      <x:c r="C47" s="46" t="str">
        <x:v>Sui $300M Series B</x:v>
      </x:c>
      <x:c r="D47" s="46" t="str">
        <x:v>2022-09-08</x:v>
      </x:c>
      <x:c r="E47" s="47" t="str">
        <x:v>https://forums.sui.io/t/looking-back-sui-in-q3-2022/466</x:v>
      </x:c>
      <x:c r="F47" s="46" t="str">
        <x:v>Primary ecosystem forum</x:v>
      </x:c>
      <x:c r="G47" s="46" t="str">
        <x:v>Verified Series B only.</x:v>
      </x:c>
    </x:row>
    <x:row r="48">
      <x:c r="A48" t="str">
        <x:v>UNI-SERIES-B</x:v>
      </x:c>
      <x:c r="B48" t="str">
        <x:v>Capital</x:v>
      </x:c>
      <x:c r="C48" s="46" t="str">
        <x:v>Uniswap Labs Series B</x:v>
      </x:c>
      <x:c r="D48" s="46" t="str">
        <x:v>2022-10-13</x:v>
      </x:c>
      <x:c r="E48" s="47" t="str">
        <x:v>https://blog.uniswap.org/uniswap-labs-series-b</x:v>
      </x:c>
      <x:c r="F48" s="46" t="str">
        <x:v>Primary / company announcement</x:v>
      </x:c>
      <x:c r="G48" s="46" t="str">
        <x:v>Series B only.</x:v>
      </x:c>
    </x:row>
    <x:row r="49">
      <x:c r="A49" t="str">
        <x:v>ONDO-SERIES-A</x:v>
      </x:c>
      <x:c r="B49" t="str">
        <x:v>Capital</x:v>
      </x:c>
      <x:c r="C49" s="46" t="str">
        <x:v>Ondo Finance Series A</x:v>
      </x:c>
      <x:c r="D49" s="46" t="str">
        <x:v>2022-04-27</x:v>
      </x:c>
      <x:c r="E49" s="47" t="str">
        <x:v>https://www.coindesk.com/business/2022/04/27/defi-protocol-ondo-finance-raises-20m-in-series-a-round/</x:v>
      </x:c>
      <x:c r="F49" s="46" t="str">
        <x:v>Secondary</x:v>
      </x:c>
      <x:c r="G49" s="46" t="str">
        <x:v>Series A only.</x:v>
      </x:c>
    </x:row>
    <x:row r="50">
      <x:c r="A50" t="str">
        <x:v>LINK-FOUNDERS</x:v>
      </x:c>
      <x:c r="B50" t="str">
        <x:v>Founder identity</x:v>
      </x:c>
      <x:c r="C50" s="46" t="str">
        <x:v>Chainlink Block Stories — founders</x:v>
      </x:c>
      <x:c r="D50" s="46" t="str"/>
      <x:c r="E50" s="47" t="str">
        <x:v>https://chain.link/block-stories</x:v>
      </x:c>
      <x:c r="F50" s="46" t="str">
        <x:v>Primary / project site</x:v>
      </x:c>
      <x:c r="G50" s="46" t="str">
        <x:v>Sergey Nazarov and Steve Ellis.</x:v>
      </x:c>
    </x:row>
    <x:row r="51">
      <x:c r="A51" t="str">
        <x:v>BINANCE-PRIVATE-CONTEXT</x:v>
      </x:c>
      <x:c r="B51" t="str">
        <x:v>Private valuation context</x:v>
      </x:c>
      <x:c r="C51" s="46" t="str">
        <x:v>Sacra — Binance valuation</x:v>
      </x:c>
      <x:c r="D51" s="46" t="str">
        <x:v>2025-03-01</x:v>
      </x:c>
      <x:c r="E51" s="47" t="str">
        <x:v>https://sacra.com/c/binance-holdings-ltd/</x:v>
      </x:c>
      <x:c r="F51" s="46" t="str">
        <x:v>Secondary / private-market estimate</x:v>
      </x:c>
      <x:c r="G51" s="46" t="str">
        <x:v>Context only; do not combine with BNB market cap absent a double-count bridge.</x:v>
      </x:c>
    </x:row>
    <x:row r="52">
      <x:c r="A52" t="str">
        <x:v>BTC-FAIR-LAUNCH</x:v>
      </x:c>
      <x:c r="B52" t="str">
        <x:v>Capital</x:v>
      </x:c>
      <x:c r="C52" s="46" t="str">
        <x:v>bitcoin capital source</x:v>
      </x:c>
      <x:c r="D52" s="46" t="str">
        <x:v>2009-01-03</x:v>
      </x:c>
      <x:c r="E52" s="47" t="str">
        <x:v>https://bitcoin.org/bitcoin.pdf</x:v>
      </x:c>
      <x:c r="F52" s="46" t="str">
        <x:v>Primary / protocol history</x:v>
      </x:c>
      <x:c r="G52" s="46" t="str">
        <x:v>Fair launch; no primary capital raise identified.</x:v>
      </x:c>
    </x:row>
    <x:row r="53">
      <x:c r="A53" t="str">
        <x:v>ETH-CROWDSALE</x:v>
      </x:c>
      <x:c r="B53" t="str">
        <x:v>Capital</x:v>
      </x:c>
      <x:c r="C53" s="46" t="str">
        <x:v>ethereum capital source</x:v>
      </x:c>
      <x:c r="D53" s="46" t="str">
        <x:v>2014-09-02</x:v>
      </x:c>
      <x:c r="E53" s="47" t="str">
        <x:v>https://ethereum.org/en/history/</x:v>
      </x:c>
      <x:c r="F53" s="46" t="str">
        <x:v>Needs full reconciliation</x:v>
      </x:c>
      <x:c r="G53" s="46" t="str">
        <x:v>Approximate USD proceeds; reconcile BTC proceeds at transaction dates and any other external financing.</x:v>
      </x:c>
    </x:row>
    <x:row r="54">
      <x:c r="A54" t="str">
        <x:v>BNB-ICO</x:v>
      </x:c>
      <x:c r="B54" t="str">
        <x:v>Capital</x:v>
      </x:c>
      <x:c r="C54" s="46" t="str">
        <x:v>bnb capital source</x:v>
      </x:c>
      <x:c r="D54" s="46" t="str">
        <x:v>2017-07-21</x:v>
      </x:c>
      <x:c r="E54" s="47" t="str">
        <x:v>https://academy.binance.com/en/articles/what-is-bnb</x:v>
      </x:c>
      <x:c r="F54" s="46" t="str">
        <x:v>Needs full reconciliation</x:v>
      </x:c>
      <x:c r="G54" s="46" t="str">
        <x:v>Does not establish complete Binance corporate financing history.</x:v>
      </x:c>
    </x:row>
    <x:row r="55">
      <x:c r="A55" t="str">
        <x:v>TRON-ICO</x:v>
      </x:c>
      <x:c r="B55" t="str">
        <x:v>Capital</x:v>
      </x:c>
      <x:c r="C55" s="46" t="str">
        <x:v>tron capital source</x:v>
      </x:c>
      <x:c r="D55" s="46" t="str">
        <x:v>2017-09-02</x:v>
      </x:c>
      <x:c r="E55" s="47" t="str">
        <x:v>https://tron.network/static/doc/white_paper_v_2_0.pdf</x:v>
      </x:c>
      <x:c r="F55" s="46" t="str">
        <x:v>Needs full reconciliation</x:v>
      </x:c>
      <x:c r="G55" s="46" t="str">
        <x:v>Verify exact proceeds and any equity/company financing.</x:v>
      </x:c>
    </x:row>
    <x:row r="56">
      <x:c r="A56" t="str">
        <x:v>HYPE-SELF-FUNDED</x:v>
      </x:c>
      <x:c r="B56" t="str">
        <x:v>Capital</x:v>
      </x:c>
      <x:c r="C56" s="46" t="str">
        <x:v>hyperliquid capital source</x:v>
      </x:c>
      <x:c r="D56" s="46" t="str"/>
      <x:c r="E56" s="47" t="str">
        <x:v>https://hyperfoundation.org/</x:v>
      </x:c>
      <x:c r="F56" s="46" t="str">
        <x:v>Needs full reconciliation</x:v>
      </x:c>
      <x:c r="G56" s="46" t="str">
        <x:v>Self-funded/no-VC claim needs a complete, primary-source capital-history citation.</x:v>
      </x:c>
    </x:row>
    <x:row r="57">
      <x:c r="A57" t="str">
        <x:v>DOGE-FAIR-LAUNCH</x:v>
      </x:c>
      <x:c r="B57" t="str">
        <x:v>Capital</x:v>
      </x:c>
      <x:c r="C57" s="46" t="str">
        <x:v>dogecoin capital source</x:v>
      </x:c>
      <x:c r="D57" s="46" t="str">
        <x:v>2013-12-06</x:v>
      </x:c>
      <x:c r="E57" s="47" t="str">
        <x:v>https://dogecoin.com/dogepedia/articles/history-of-dogecoin/</x:v>
      </x:c>
      <x:c r="F57" s="46" t="str">
        <x:v>Primary / protocol history</x:v>
      </x:c>
      <x:c r="G57" s="46" t="str">
        <x:v>Fair launch; no team token sale identified.</x:v>
      </x:c>
    </x:row>
    <x:row r="58">
      <x:c r="A58" t="str">
        <x:v>ADA-ICO</x:v>
      </x:c>
      <x:c r="B58" t="str">
        <x:v>Capital</x:v>
      </x:c>
      <x:c r="C58" s="46" t="str">
        <x:v>cardano capital source</x:v>
      </x:c>
      <x:c r="D58" s="46" t="str">
        <x:v>2017-01-01</x:v>
      </x:c>
      <x:c r="E58" s="47" t="str">
        <x:v>https://www.cardano.org/about-us/</x:v>
      </x:c>
      <x:c r="F58" s="46" t="str">
        <x:v>Needs full reconciliation</x:v>
      </x:c>
      <x:c r="G58" s="46" t="str">
        <x:v>Approximate total; reconcile sale tranches and any company financing.</x:v>
      </x:c>
    </x:row>
    <x:row r="59">
      <x:c r="A59" t="str">
        <x:v>LINK-ICO</x:v>
      </x:c>
      <x:c r="B59" t="str">
        <x:v>Capital</x:v>
      </x:c>
      <x:c r="C59" s="46" t="str">
        <x:v>chainlink capital source</x:v>
      </x:c>
      <x:c r="D59" s="46" t="str">
        <x:v>2017-09-19</x:v>
      </x:c>
      <x:c r="E59" s="47" t="str">
        <x:v>https://chain.link/whitepaper</x:v>
      </x:c>
      <x:c r="F59" s="46" t="str">
        <x:v>Needs full reconciliation</x:v>
      </x:c>
      <x:c r="G59" s="46" t="str">
        <x:v>Reconcile any equity financing.</x:v>
      </x:c>
    </x:row>
    <x:row r="60">
      <x:c r="A60" t="str">
        <x:v>XLM-STRIPE</x:v>
      </x:c>
      <x:c r="B60" t="str">
        <x:v>Capital</x:v>
      </x:c>
      <x:c r="C60" s="46" t="str">
        <x:v>stellar capital source</x:v>
      </x:c>
      <x:c r="D60" s="46" t="str">
        <x:v>2014-01-01</x:v>
      </x:c>
      <x:c r="E60" s="47" t="str">
        <x:v>https://stripe.com/blog/stellar</x:v>
      </x:c>
      <x:c r="F60" s="46" t="str">
        <x:v>Needs full reconciliation</x:v>
      </x:c>
      <x:c r="G60" s="46" t="str">
        <x:v>Reconcile donations and any additional primary financing.</x:v>
      </x:c>
    </x:row>
    <x:row r="61">
      <x:c r="A61" t="str">
        <x:v>LTC-FAIR-LAUNCH</x:v>
      </x:c>
      <x:c r="B61" t="str">
        <x:v>Capital</x:v>
      </x:c>
      <x:c r="C61" s="46" t="str">
        <x:v>litecoin capital source</x:v>
      </x:c>
      <x:c r="D61" s="46" t="str">
        <x:v>2011-10-13</x:v>
      </x:c>
      <x:c r="E61" s="47" t="str">
        <x:v>https://litecoin.org/</x:v>
      </x:c>
      <x:c r="F61" s="46" t="str">
        <x:v>Primary / protocol history</x:v>
      </x:c>
      <x:c r="G61" s="46" t="str">
        <x:v>Fair launch; no team token sale identified.</x:v>
      </x:c>
    </x:row>
    <x:row r="62">
      <x:c r="A62" t="str">
        <x:v>HBAR-SALES</x:v>
      </x:c>
      <x:c r="B62" t="str">
        <x:v>Capital</x:v>
      </x:c>
      <x:c r="C62" s="46" t="str">
        <x:v>hedera capital source</x:v>
      </x:c>
      <x:c r="D62" s="46" t="str">
        <x:v>2018-08-01</x:v>
      </x:c>
      <x:c r="E62" s="47" t="str">
        <x:v>https://hedera.com/treasury-management-report</x:v>
      </x:c>
      <x:c r="F62" s="46" t="str">
        <x:v>Needs full reconciliation</x:v>
      </x:c>
      <x:c r="G62" s="46" t="str">
        <x:v>Approximate; reconcile all sale tranches and equity financing.</x:v>
      </x:c>
    </x:row>
    <x:row r="63">
      <x:c r="A63" t="str">
        <x:v>AVAX-2021-SALE</x:v>
      </x:c>
      <x:c r="B63" t="str">
        <x:v>Capital</x:v>
      </x:c>
      <x:c r="C63" s="46" t="str">
        <x:v>avalanche capital source</x:v>
      </x:c>
      <x:c r="D63" s="46" t="str">
        <x:v>2021-09-16</x:v>
      </x:c>
      <x:c r="E63" s="47" t="str">
        <x:v>https://www.avax.network/about/blog/polychain-and-three-arrows-capital-lead-230m-investment-in-avalanche</x:v>
      </x:c>
      <x:c r="F63" s="46" t="str">
        <x:v>Needs full reconciliation</x:v>
      </x:c>
      <x:c r="G63" s="46" t="str">
        <x:v>Add seed, earlier private sale, and public token sale.</x:v>
      </x:c>
    </x:row>
    <x:row r="64">
      <x:c r="A64" t="str">
        <x:v>NEAR-2022-ROUND</x:v>
      </x:c>
      <x:c r="B64" t="str">
        <x:v>Capital</x:v>
      </x:c>
      <x:c r="C64" s="46" t="str">
        <x:v>near capital source</x:v>
      </x:c>
      <x:c r="D64" s="46" t="str">
        <x:v>2022-01-13</x:v>
      </x:c>
      <x:c r="E64" s="47" t="str">
        <x:v>https://near.org/blog/near-raises-150m-to-accelerate-mass-adoption-of-web3-technologies</x:v>
      </x:c>
      <x:c r="F64" s="46" t="str">
        <x:v>Needs full reconciliation</x:v>
      </x:c>
      <x:c r="G64" s="46" t="str">
        <x:v>Add earlier rounds and token sale proceeds.</x:v>
      </x:c>
    </x:row>
    <x:row r="65">
      <x:c r="A65" t="str">
        <x:v>DOT-ICO</x:v>
      </x:c>
      <x:c r="B65" t="str">
        <x:v>Capital</x:v>
      </x:c>
      <x:c r="C65" s="46" t="str">
        <x:v>polkadot capital source</x:v>
      </x:c>
      <x:c r="D65" s="46" t="str">
        <x:v>2017-10-17</x:v>
      </x:c>
      <x:c r="E65" s="47" t="str">
        <x:v>https://polkadot.com/blog/polkadot-network-launch</x:v>
      </x:c>
      <x:c r="F65" s="46" t="str">
        <x:v>Needs full reconciliation</x:v>
      </x:c>
      <x:c r="G65" s="46" t="str">
        <x:v>Add later token sales and external financing.</x:v>
      </x:c>
    </x:row>
    <x:row r="66">
      <x:c r="A66" t="str">
        <x:v>ICP-FUNDING</x:v>
      </x:c>
      <x:c r="B66" t="str">
        <x:v>Capital</x:v>
      </x:c>
      <x:c r="C66" s="46" t="str">
        <x:v>internet-computer capital source</x:v>
      </x:c>
      <x:c r="D66" s="46" t="str">
        <x:v>2018-08-29</x:v>
      </x:c>
      <x:c r="E66" s="47" t="str">
        <x:v>https://dfinity.org/foundation</x:v>
      </x:c>
      <x:c r="F66" s="46" t="str">
        <x:v>Needs full reconciliation</x:v>
      </x:c>
      <x:c r="G66" s="46" t="str">
        <x:v>Approximate cumulative amount; reconcile each primary round.</x:v>
      </x:c>
    </x:row>
    <x:row r="67">
      <x:c r="A67" t="str">
        <x:v>DOGE-DIVESTED</x:v>
      </x:c>
      <x:c r="B67" t="str">
        <x:v>Founder holdings</x:v>
      </x:c>
      <x:c r="C67" s="46" t="str">
        <x:v>Billy Markus divestment reporting</x:v>
      </x:c>
      <x:c r="D67" s="46" t="str">
        <x:v>2015-01-01</x:v>
      </x:c>
      <x:c r="E67" s="47" t="str">
        <x:v>https://www.reddit.com/r/dogecoin/comments/6ch2f2/</x:v>
      </x:c>
      <x:c r="F67" s="46" t="str">
        <x:v>Founder statement / secondary context</x:v>
      </x:c>
      <x:c r="G67" s="46" t="str">
        <x:v>Declaration-based; not a complete wallet audit.</x:v>
      </x:c>
    </x:row>
    <x:row r="68">
      <x:c r="A68" t="str">
        <x:v>LTC-DIVESTED</x:v>
      </x:c>
      <x:c r="B68" t="str">
        <x:v>Founder holdings</x:v>
      </x:c>
      <x:c r="C68" s="46" t="str">
        <x:v>Charlie Lee divestment announcement</x:v>
      </x:c>
      <x:c r="D68" s="46" t="str">
        <x:v>2017-12-20</x:v>
      </x:c>
      <x:c r="E68" s="47" t="str">
        <x:v>https://www.reddit.com/r/litecoin/comments/7kzw6q/</x:v>
      </x:c>
      <x:c r="F68" s="46" t="str">
        <x:v>Founder statement</x:v>
      </x:c>
      <x:c r="G68" s="46" t="str">
        <x:v>Declaration-based; not a complete wallet audit.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21ea933af214c0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6" hidden="0" customWidth="1"/>
    <x:col min="3" max="3" width="16" hidden="0" customWidth="1"/>
    <x:col min="4" max="4" width="16" hidden="0" customWidth="1"/>
    <x:col min="5" max="5" width="14" hidden="0" customWidth="1"/>
    <x:col min="6" max="6" width="56" hidden="0" customWidth="1"/>
  </x:cols>
  <x:sheetData>
    <x:row r="1" ht="32" customHeight="1">
      <x:c r="A1" s="4" t="str">
        <x:v>Model checks</x:v>
      </x:c>
      <x:c r="B1" s="4"/>
      <x:c r="C1" s="4"/>
      <x:c r="D1" s="4"/>
      <x:c r="E1" s="4"/>
      <x:c r="F1" s="4"/>
    </x:row>
    <x:row r="2" ht="30" customHeight="1">
      <x:c r="A2" s="8" t="str">
        <x:v>“OK” means the workbook logic is internally consistent; it does not mean every research row is publication-ready.</x:v>
      </x:c>
      <x:c r="B2" s="8"/>
      <x:c r="C2" s="8"/>
      <x:c r="D2" s="8"/>
      <x:c r="E2" s="8"/>
      <x:c r="F2" s="8"/>
    </x:row>
    <x:row r="4" ht="34" customHeight="1">
      <x:c r="A4" s="16" t="str">
        <x:v>Check</x:v>
      </x:c>
      <x:c r="B4" s="17" t="str">
        <x:v>Actual</x:v>
      </x:c>
      <x:c r="C4" s="17" t="str">
        <x:v>Expected</x:v>
      </x:c>
      <x:c r="D4" s="17" t="str">
        <x:v>Difference</x:v>
      </x:c>
      <x:c r="E4" s="17" t="str">
        <x:v>Status</x:v>
      </x:c>
      <x:c r="F4" s="18" t="str">
        <x:v>Fix / note</x:v>
      </x:c>
    </x:row>
    <x:row r="5">
      <x:c r="A5" t="str">
        <x:v>Candidate IDs populated</x:v>
      </x:c>
      <x:c r="B5" s="48" t="n">
        <x:f>COUNTA('Candidate Universe'!$B$5:$B$34)</x:f>
        <x:v>30</x:v>
      </x:c>
      <x:c r="C5" s="48" t="n">
        <x:v>30</x:v>
      </x:c>
      <x:c r="D5" s="48" t="n">
        <x:f>B5-C5</x:f>
        <x:v>0</x:v>
      </x:c>
      <x:c r="E5" t="str">
        <x:f>IF(D5=0,"OK","FAIL")</x:f>
        <x:v>OK</x:v>
      </x:c>
      <x:c r="F5" t="str">
        <x:v>Every candidate needs a stable project ID.</x:v>
      </x:c>
    </x:row>
    <x:row r="6">
      <x:c r="A6" t="str">
        <x:v>Top-20 gross rows present</x:v>
      </x:c>
      <x:c r="B6" s="48" t="n">
        <x:f>COUNTIF('Candidate Universe'!$A$5:$A$34,"&lt;=20")</x:f>
        <x:v>20</x:v>
      </x:c>
      <x:c r="C6" s="48" t="n">
        <x:v>20</x:v>
      </x:c>
      <x:c r="D6" s="48" t="n">
        <x:f>B6-C6</x:f>
        <x:v>0</x:v>
      </x:c>
      <x:c r="E6" t="str">
        <x:f>IF(D6=0,"OK","FAIL")</x:f>
        <x:v>OK</x:v>
      </x:c>
      <x:c r="F6" t="str">
        <x:v>Gross screen must contain exactly 20 rows.</x:v>
      </x:c>
    </x:row>
    <x:row r="7">
      <x:c r="A7" t="str">
        <x:v>Gross values missing a source</x:v>
      </x:c>
      <x:c r="B7" s="48" t="n">
        <x:f>COUNTIFS('Candidate Universe'!$G$5:$G$34,"&gt;0",'Candidate Universe'!$R$5:$R$34,"")</x:f>
        <x:v>0</x:v>
      </x:c>
      <x:c r="C7" s="48" t="n">
        <x:v>0</x:v>
      </x:c>
      <x:c r="D7" s="48" t="n">
        <x:f>B7-C7</x:f>
        <x:v>0</x:v>
      </x:c>
      <x:c r="E7" t="str">
        <x:f>IF(D7=0,"OK","FAIL")</x:f>
        <x:v>OK</x:v>
      </x:c>
      <x:c r="F7" t="str">
        <x:v>Add a source ID for every populated gross value.</x:v>
      </x:c>
    </x:row>
    <x:row r="8">
      <x:c r="A8" t="str">
        <x:v>Complete holdings with blank value</x:v>
      </x:c>
      <x:c r="B8" s="48" t="n">
        <x:f>COUNTIFS('Candidate Universe'!$O$5:$O$34,"Complete",'Candidate Universe'!$H$5:$H$34,"")</x:f>
        <x:v>0</x:v>
      </x:c>
      <x:c r="C8" s="48" t="n">
        <x:v>0</x:v>
      </x:c>
      <x:c r="D8" s="48" t="n">
        <x:f>B8-C8</x:f>
        <x:v>0</x:v>
      </x:c>
      <x:c r="E8" t="str">
        <x:f>IF(D8=0,"OK","FAIL")</x:f>
        <x:v>OK</x:v>
      </x:c>
      <x:c r="F8" t="str">
        <x:v>Complete holdings require a numeric value, including explicit zero.</x:v>
      </x:c>
    </x:row>
    <x:row r="9">
      <x:c r="A9" t="str">
        <x:v>Complete capital with blank value</x:v>
      </x:c>
      <x:c r="B9" s="48" t="n">
        <x:f>COUNTIFS('Candidate Universe'!$P$5:$P$34,"Complete",'Candidate Universe'!$I$5:$I$34,"")</x:f>
        <x:v>0</x:v>
      </x:c>
      <x:c r="C9" s="48" t="n">
        <x:v>0</x:v>
      </x:c>
      <x:c r="D9" s="48" t="n">
        <x:f>B9-C9</x:f>
        <x:v>0</x:v>
      </x:c>
      <x:c r="E9" t="str">
        <x:f>IF(D9=0,"OK","FAIL")</x:f>
        <x:v>OK</x:v>
      </x:c>
      <x:c r="F9" t="str">
        <x:v>Complete capital requires a numeric value, including explicit zero.</x:v>
      </x:c>
    </x:row>
    <x:row r="10">
      <x:c r="A10" t="str">
        <x:v>Canonical score above gross value</x:v>
      </x:c>
      <x:c r="B10" s="48" t="n">
        <x:f>COUNTIF('Candidate Universe'!$L$5:$L$34,"&gt;"&amp;MAX('Candidate Universe'!$G$5:$G$34))</x:f>
        <x:v>0</x:v>
      </x:c>
      <x:c r="C10" s="48" t="n">
        <x:v>0</x:v>
      </x:c>
      <x:c r="D10" s="48" t="n">
        <x:f>B10-C10</x:f>
        <x:v>0</x:v>
      </x:c>
      <x:c r="E10" t="str">
        <x:f>IF(D10=0,"OK","FAIL")</x:f>
        <x:v>OK</x:v>
      </x:c>
      <x:c r="F10" t="str">
        <x:v>Canonical score cannot exceed the largest gross value.</x:v>
      </x:c>
    </x:row>
    <x:row r="11">
      <x:c r="A11" t="str">
        <x:v>Canonical rows equal Ready rows</x:v>
      </x:c>
      <x:c r="B11" s="48" t="n">
        <x:f>COUNT('Candidate Universe'!$L$5:$L$34)</x:f>
        <x:v>2</x:v>
      </x:c>
      <x:c r="C11" s="48" t="n">
        <x:f>COUNTIF('Candidate Universe'!$Q$5:$Q$34,"Ready")</x:f>
        <x:v>2</x:v>
      </x:c>
      <x:c r="D11" s="48" t="n">
        <x:f>B11-C11</x:f>
        <x:v>0</x:v>
      </x:c>
      <x:c r="E11" t="str">
        <x:f>IF(D11=0,"OK","FAIL")</x:f>
        <x:v>OK</x:v>
      </x:c>
      <x:c r="F11" t="str">
        <x:v>Publication gating and canonical formulas must agree.</x:v>
      </x:c>
    </x:row>
    <x:row r="13">
      <x:c r="A13" s="49" t="str">
        <x:v>Overall model status</x:v>
      </x:c>
      <x:c r="B13" s="49" t="str"/>
      <x:c r="C13" s="49" t="str"/>
      <x:c r="D13" s="49" t="str"/>
      <x:c r="E13" s="49" t="str">
        <x:f>IF(COUNTIF(E5:E11,"FAIL")=0,"OK","FAIL")</x:f>
        <x:v>OK</x:v>
      </x:c>
      <x:c r="F13" s="49"/>
    </x:row>
    <x:row r="15">
      <x:c r="A15" s="52" t="str">
        <x:v>Research completeness is intentionally not forced to OK. See Candidate Universe status columns and Next research action.</x:v>
      </x:c>
      <x:c r="B15" s="52"/>
      <x:c r="C15" s="52"/>
      <x:c r="D15" s="52"/>
      <x:c r="E15" s="52"/>
      <x:c r="F15" s="52"/>
    </x:row>
  </x:sheetData>
  <x:mergeCells>
    <x:mergeCell ref="A1:F1"/>
    <x:mergeCell ref="A2:F2"/>
    <x:mergeCell ref="A15:F15"/>
  </x:mergeCells>
  <x:conditionalFormatting sqref="E5:E13">
    <x:cfRule type="containsText" dxfId="21" priority="1" operator="containsText" text="OK"/>
    <x:cfRule type="containsText" dxfId="22" priority="2" operator="containsText" text="FAIL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0" hidden="0" customWidth="1"/>
    <x:col min="3" max="3" width="3" hidden="0" customWidth="1"/>
    <x:col min="4" max="4" width="24" hidden="0" customWidth="1"/>
    <x:col min="5" max="5" width="36" hidden="0" customWidth="1"/>
    <x:col min="6" max="6" width="45" hidden="0" customWidth="1"/>
  </x:cols>
  <x:sheetData>
    <x:row r="1" ht="32" customHeight="1">
      <x:c r="A1" s="4" t="str">
        <x:v>Methodology &amp; operating rules</x:v>
      </x:c>
      <x:c r="B1" s="4"/>
      <x:c r="C1" s="4"/>
      <x:c r="D1" s="4"/>
      <x:c r="E1" s="4"/>
      <x:c r="F1" s="4"/>
    </x:row>
    <x:row r="3" ht="34" customHeight="1">
      <x:c r="A3" s="16" t="str">
        <x:v>Field</x:v>
      </x:c>
      <x:c r="B3" s="18" t="str">
        <x:v>Definition</x:v>
      </x:c>
      <x:c r="D3" s="16" t="str">
        <x:v>Color / status</x:v>
      </x:c>
      <x:c r="E3" s="17" t="str">
        <x:v>Meaning</x:v>
      </x:c>
      <x:c r="F3" s="18" t="str">
        <x:v>Action</x:v>
      </x:c>
    </x:row>
    <x:row r="4">
      <x:c r="A4" s="54" t="str">
        <x:v>Objective</x:v>
      </x:c>
      <x:c r="B4" s="46" t="str">
        <x:v>Adapt the Bezos List concept to crypto: estimate value created for outside holders by founder-led crypto networks and companies.</x:v>
      </x:c>
      <x:c r="D4" t="str">
        <x:v>Blue input text</x:v>
      </x:c>
      <x:c r="E4" t="str">
        <x:v>Editable sourced input</x:v>
      </x:c>
      <x:c r="F4" t="str">
        <x:v>Refresh or replace with sourced value.</x:v>
      </x:c>
    </x:row>
    <x:row r="5">
      <x:c r="A5" s="54" t="str">
        <x:v>Gross value</x:v>
      </x:c>
      <x:c r="B5" s="46" t="str">
        <x:v>Circulating token market capitalization for token projects; public-equity market capitalization for listed companies.</x:v>
      </x:c>
      <x:c r="D5" t="str">
        <x:v>Green formula text</x:v>
      </x:c>
      <x:c r="E5" t="str">
        <x:v>Cross-sheet linked output</x:v>
      </x:c>
      <x:c r="F5" t="str">
        <x:v>Trace to source sheet.</x:v>
      </x:c>
    </x:row>
    <x:row r="6">
      <x:c r="A6" s="54" t="str">
        <x:v>Provisional score</x:v>
      </x:c>
      <x:c r="B6" s="46" t="str">
        <x:v>Gross value minus known founder/team-controlled value included in gross value, verified external capital, and other documented deductions. Unknown deductions are temporarily treated as zero only here.</x:v>
      </x:c>
      <x:c r="D6" t="str">
        <x:v>Amber status</x:v>
      </x:c>
      <x:c r="E6" t="str">
        <x:v>Partial / research needed</x:v>
      </x:c>
      <x:c r="F6" t="str">
        <x:v>Do not publish canonical score.</x:v>
      </x:c>
    </x:row>
    <x:row r="7">
      <x:c r="A7" s="54" t="str">
        <x:v>Canonical score</x:v>
      </x:c>
      <x:c r="B7" s="46" t="str">
        <x:v>Same formula, but returned only when gross, founder holdings, and capital statuses are all Complete.</x:v>
      </x:c>
      <x:c r="D7" t="str">
        <x:v>Red status</x:v>
      </x:c>
      <x:c r="E7" t="str">
        <x:v>Missing / blocked</x:v>
      </x:c>
      <x:c r="F7" t="str">
        <x:v>Resolve before publication.</x:v>
      </x:c>
    </x:row>
    <x:row r="8">
      <x:c r="A8" s="54" t="str">
        <x:v>Founder/team deduction</x:v>
      </x:c>
      <x:c r="B8" s="46" t="str">
        <x:v>Current value controlled by founders or the founding team that is already included in the gross valuation. Public addresses alone are not assumed to be complete.</x:v>
      </x:c>
      <x:c r="D8" t="str">
        <x:v>Green status</x:v>
      </x:c>
      <x:c r="E8" t="str">
        <x:v>Complete / ready</x:v>
      </x:c>
      <x:c r="F8" t="str">
        <x:v>Still refresh time-sensitive market values.</x:v>
      </x:c>
    </x:row>
    <x:row r="9">
      <x:c r="A9" s="54" t="str">
        <x:v>Capital deduction</x:v>
      </x:c>
      <x:c r="B9" s="46" t="str">
        <x:v>Primary equity financing plus primary token-sale proceeds received by the project/company. Exclude secondary investor trades.</x:v>
      </x:c>
    </x:row>
    <x:row r="10">
      <x:c r="A10" s="54" t="str">
        <x:v>Circulating-supply rule</x:v>
      </x:c>
      <x:c r="B10" s="46" t="str">
        <x:v>Do not deduct locked, unvested, escrowed, or treasury tokens if the market-cap source already excludes them from circulating supply.</x:v>
      </x:c>
      <x:c r="D10" s="30" t="str">
        <x:v>Primary methodology reference</x:v>
      </x:c>
      <x:c r="E10" s="30"/>
      <x:c r="F10" s="30"/>
    </x:row>
    <x:row r="11">
      <x:c r="A11" s="54" t="str">
        <x:v>Treasury rule</x:v>
      </x:c>
      <x:c r="B11" s="46" t="str">
        <x:v>Do not assign protocol, DAO, foundation, or ecosystem treasury assets to a founder without a documented control rule.</x:v>
      </x:c>
      <x:c r="D11" s="56" t="str">
        <x:v>https://www.piratewires.com/p/the-bezos-list-the-top-20-founders</x:v>
      </x:c>
      <x:c r="E11" s="56"/>
      <x:c r="F11" s="56"/>
    </x:row>
    <x:row r="12">
      <x:c r="A12" s="54" t="str">
        <x:v>Wallet evidence</x:v>
      </x:c>
      <x:c r="B12" s="46" t="str">
        <x:v>High: self-disclosed/filing. Medium-high: explorer label plus corroboration. Medium: researcher linked. Low: rumored/unconfirmed.</x:v>
      </x:c>
    </x:row>
    <x:row r="13">
      <x:c r="A13" s="54" t="str">
        <x:v>Unknown vs zero</x:v>
      </x:c>
      <x:c r="B13" s="46" t="str">
        <x:v>Blank means unknown or not yet measured. Zero is used only when the research supports an explicit zero.</x:v>
      </x:c>
    </x:row>
    <x:row r="14">
      <x:c r="A14" s="54" t="str">
        <x:v>Spam/airdrops</x:v>
      </x:c>
      <x:c r="B14" s="46" t="str">
        <x:v>Exclude unsolicited spam and airdropped tokens from founder-acquired wealth unless there is evidence of acceptance/control relevant to the score.</x:v>
      </x:c>
    </x:row>
    <x:row r="15">
      <x:c r="A15" s="54" t="str">
        <x:v>Transfers</x:v>
      </x:c>
      <x:c r="B15" s="46" t="str">
        <x:v>Deduplicate internal transfers among attributed addresses. Use point-in-time balances, not summed transaction history.</x:v>
      </x:c>
    </x:row>
    <x:row r="16">
      <x:c r="A16" s="54" t="str">
        <x:v>Binance</x:v>
      </x:c>
      <x:c r="B16" s="46" t="str">
        <x:v>Use BNB circulating market cap as the canonical unit. Private Binance valuation is context only unless overlap can be removed.</x:v>
      </x:c>
    </x:row>
    <x:row r="17">
      <x:c r="A17" s="54" t="str">
        <x:v>Coinbase</x:v>
      </x:c>
      <x:c r="B17" s="46" t="str">
        <x:v>Use public equity market cap; subtract SEC-disclosed founder shares and reconciled external capital. Personal wallets are supplementary.</x:v>
      </x:c>
    </x:row>
    <x:row r="18">
      <x:c r="A18" s="54" t="str">
        <x:v>Stablecoins/RWA/wrapped assets</x:v>
      </x:c>
      <x:c r="B18" s="46" t="str">
        <x:v>Exclude or deduct backing assets so the ranking measures created outside value rather than pass-through collateral.</x:v>
      </x:c>
    </x:row>
    <x:row r="19">
      <x:c r="A19" s="54" t="str">
        <x:v>Publication gate</x:v>
      </x:c>
      <x:c r="B19" s="46" t="str">
        <x:v>Every displayed number needs a source; low-confidence wallets stay out; canonical rank remains blank until required statuses are Complete.</x:v>
      </x:c>
    </x:row>
  </x:sheetData>
  <x:mergeCells>
    <x:mergeCell ref="A1:F1"/>
    <x:mergeCell ref="D10:F10"/>
    <x:mergeCell ref="D11:F11"/>
  </x:mergeCells>
  <x:pageMargins left="0.7" right="0.7" top="0.75" bottom="0.75" header="0.3" footer="0.3"/>
</x:worksheet>
</file>